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 xmlns:r="http://schemas.openxmlformats.org/officeDocument/2006/relationships" name="SAP_Invoice_Export" sheetId="2" state="visible" r:id="rId2"/>
    <sheet xmlns:r="http://schemas.openxmlformats.org/officeDocument/2006/relationships" name="Dashboard" sheetId="3" state="visible" r:id="rId3"/>
    <sheet xmlns:r="http://schemas.openxmlformats.org/officeDocument/2006/relationships" name="Instructions" sheetId="4" state="visible" r:id="rId4"/>
    <sheet xmlns:r="http://schemas.openxmlformats.org/officeDocument/2006/relationships" name="Config"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4"/>
    </font>
  </fonts>
  <fills count="3">
    <fill>
      <patternFill/>
    </fill>
    <fill>
      <patternFill patternType="gray125"/>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horizontal="center" wrapText="1"/>
    </xf>
    <xf numFmtId="0" fontId="0" fillId="0" borderId="1" applyAlignment="1" pivotButton="0" quotePrefix="0" xfId="0">
      <alignment vertical="top"/>
    </xf>
    <xf numFmtId="164" fontId="0" fillId="0" borderId="1" applyAlignment="1" pivotButton="0" quotePrefix="0" xfId="0">
      <alignment vertical="top"/>
    </xf>
    <xf numFmtId="0" fontId="2" fillId="0" borderId="0" pivotButton="0" quotePrefix="0" xfId="0"/>
    <xf numFmtId="0" fontId="0" fillId="0" borderId="0" applyAlignment="1" pivotButton="0" quotePrefix="0" xfId="0">
      <alignment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0" customWidth="1" min="3" max="3"/>
    <col width="16" customWidth="1" min="4" max="4"/>
    <col width="12" customWidth="1" min="5" max="5"/>
    <col width="14" customWidth="1" min="6" max="6"/>
    <col width="12" customWidth="1" min="7" max="7"/>
    <col width="16" customWidth="1" min="8" max="8"/>
    <col width="28" customWidth="1" min="9" max="9"/>
    <col width="16" customWidth="1" min="10" max="10"/>
  </cols>
  <sheetData>
    <row r="1">
      <c r="A1" s="1" t="inlineStr">
        <is>
          <t>Task ID</t>
        </is>
      </c>
      <c r="B1" s="1" t="inlineStr">
        <is>
          <t>Workstream</t>
        </is>
      </c>
      <c r="C1" s="1" t="inlineStr">
        <is>
          <t>Task</t>
        </is>
      </c>
      <c r="D1" s="1" t="inlineStr">
        <is>
          <t>Owner</t>
        </is>
      </c>
      <c r="E1" s="1" t="inlineStr">
        <is>
          <t>Due Date</t>
        </is>
      </c>
      <c r="F1" s="1" t="inlineStr">
        <is>
          <t>Completed Date</t>
        </is>
      </c>
      <c r="G1" s="1" t="inlineStr">
        <is>
          <t>Status</t>
        </is>
      </c>
      <c r="H1" s="1" t="inlineStr">
        <is>
          <t>Dependency</t>
        </is>
      </c>
      <c r="I1" s="1" t="inlineStr">
        <is>
          <t>Evidence Link/Note</t>
        </is>
      </c>
      <c r="J1" s="1" t="inlineStr">
        <is>
          <t>Follow-up Needed?</t>
        </is>
      </c>
    </row>
    <row r="2">
      <c r="A2" s="2" t="inlineStr">
        <is>
          <t>T-001</t>
        </is>
      </c>
      <c r="B2" s="2" t="inlineStr">
        <is>
          <t>Indirect Tax</t>
        </is>
      </c>
      <c r="C2" s="2" t="inlineStr">
        <is>
          <t>Collect source files &amp; reconcile to GL</t>
        </is>
      </c>
      <c r="D2" s="2" t="inlineStr">
        <is>
          <t>Tax Compliance</t>
        </is>
      </c>
      <c r="E2" s="3" t="n">
        <v>46107</v>
      </c>
      <c r="F2" s="3" t="n">
        <v>46107</v>
      </c>
      <c r="G2" s="2" t="inlineStr">
        <is>
          <t>Done</t>
        </is>
      </c>
      <c r="H2" s="2" t="inlineStr">
        <is>
          <t>SAP report</t>
        </is>
      </c>
      <c r="I2" s="2" t="inlineStr">
        <is>
          <t>Link to folder / evidence</t>
        </is>
      </c>
      <c r="J2" s="2" t="inlineStr">
        <is>
          <t>No</t>
        </is>
      </c>
    </row>
    <row r="3">
      <c r="A3" s="2" t="inlineStr">
        <is>
          <t>T-002</t>
        </is>
      </c>
      <c r="B3" s="2" t="inlineStr">
        <is>
          <t>Income Tax</t>
        </is>
      </c>
      <c r="C3" s="2" t="inlineStr">
        <is>
          <t>Validate invoice coding &amp; VAT fields</t>
        </is>
      </c>
      <c r="D3" s="2" t="inlineStr">
        <is>
          <t>You</t>
        </is>
      </c>
      <c r="E3" s="3" t="n">
        <v>46108</v>
      </c>
      <c r="F3" s="3" t="n">
        <v>46106</v>
      </c>
      <c r="G3" s="2" t="inlineStr">
        <is>
          <t>Done</t>
        </is>
      </c>
      <c r="H3" s="2" t="inlineStr"/>
      <c r="I3" s="2" t="inlineStr">
        <is>
          <t>Link to folder / evidence</t>
        </is>
      </c>
      <c r="J3" s="2" t="inlineStr">
        <is>
          <t>No</t>
        </is>
      </c>
    </row>
    <row r="4">
      <c r="A4" s="2" t="inlineStr">
        <is>
          <t>T-003</t>
        </is>
      </c>
      <c r="B4" s="2" t="inlineStr">
        <is>
          <t>Indirect Tax</t>
        </is>
      </c>
      <c r="C4" s="2" t="inlineStr">
        <is>
          <t>Validate invoice coding &amp; VAT fields</t>
        </is>
      </c>
      <c r="D4" s="2" t="inlineStr">
        <is>
          <t>A2R Team</t>
        </is>
      </c>
      <c r="E4" s="3" t="n">
        <v>46109</v>
      </c>
      <c r="F4" s="3" t="n">
        <v>46109</v>
      </c>
      <c r="G4" s="2" t="inlineStr">
        <is>
          <t>Done</t>
        </is>
      </c>
      <c r="H4" s="2" t="inlineStr">
        <is>
          <t>Approval</t>
        </is>
      </c>
      <c r="I4" s="2" t="inlineStr">
        <is>
          <t>Link to folder / evidence</t>
        </is>
      </c>
      <c r="J4" s="2" t="inlineStr">
        <is>
          <t>No</t>
        </is>
      </c>
    </row>
    <row r="5">
      <c r="A5" s="2" t="inlineStr">
        <is>
          <t>T-004</t>
        </is>
      </c>
      <c r="B5" s="2" t="inlineStr">
        <is>
          <t>Controls</t>
        </is>
      </c>
      <c r="C5" s="2" t="inlineStr">
        <is>
          <t>Collect source files &amp; reconcile to GL</t>
        </is>
      </c>
      <c r="D5" s="2" t="inlineStr">
        <is>
          <t>A2R Team</t>
        </is>
      </c>
      <c r="E5" s="3" t="n">
        <v>46110</v>
      </c>
      <c r="F5" s="3" t="n">
        <v>46108</v>
      </c>
      <c r="G5" s="2" t="inlineStr">
        <is>
          <t>Done</t>
        </is>
      </c>
      <c r="H5" s="2" t="inlineStr">
        <is>
          <t>SAP report</t>
        </is>
      </c>
      <c r="I5" s="2" t="inlineStr">
        <is>
          <t>Link to folder / evidence</t>
        </is>
      </c>
      <c r="J5" s="2" t="inlineStr">
        <is>
          <t>No</t>
        </is>
      </c>
    </row>
    <row r="6">
      <c r="A6" s="2" t="inlineStr">
        <is>
          <t>T-005</t>
        </is>
      </c>
      <c r="B6" s="2" t="inlineStr">
        <is>
          <t>Reporting</t>
        </is>
      </c>
      <c r="C6" s="2" t="inlineStr">
        <is>
          <t>Finalize and archive supporting documents</t>
        </is>
      </c>
      <c r="D6" s="2" t="inlineStr">
        <is>
          <t>Tax Compliance</t>
        </is>
      </c>
      <c r="E6" s="3" t="n">
        <v>46111</v>
      </c>
      <c r="F6" s="3" t="n">
        <v>46111</v>
      </c>
      <c r="G6" s="2" t="inlineStr">
        <is>
          <t>Done</t>
        </is>
      </c>
      <c r="H6" s="2" t="inlineStr">
        <is>
          <t>SAP report</t>
        </is>
      </c>
      <c r="I6" s="2" t="inlineStr">
        <is>
          <t>Link to folder / evidence</t>
        </is>
      </c>
      <c r="J6" s="2" t="inlineStr">
        <is>
          <t>No</t>
        </is>
      </c>
    </row>
    <row r="7">
      <c r="A7" s="2" t="inlineStr">
        <is>
          <t>T-006</t>
        </is>
      </c>
      <c r="B7" s="2" t="inlineStr">
        <is>
          <t>Reporting</t>
        </is>
      </c>
      <c r="C7" s="2" t="inlineStr">
        <is>
          <t>Review unusual variances / follow up</t>
        </is>
      </c>
      <c r="D7" s="2" t="inlineStr">
        <is>
          <t>Tax Compliance</t>
        </is>
      </c>
      <c r="E7" s="3" t="n">
        <v>46106</v>
      </c>
      <c r="F7" s="3" t="n">
        <v>46106</v>
      </c>
      <c r="G7" s="2" t="inlineStr">
        <is>
          <t>Done</t>
        </is>
      </c>
      <c r="H7" s="2" t="inlineStr">
        <is>
          <t>SAP report</t>
        </is>
      </c>
      <c r="I7" s="2" t="inlineStr">
        <is>
          <t>Link to folder / evidence</t>
        </is>
      </c>
      <c r="J7" s="2" t="inlineStr">
        <is>
          <t>No</t>
        </is>
      </c>
    </row>
    <row r="8">
      <c r="A8" s="2" t="inlineStr">
        <is>
          <t>T-007</t>
        </is>
      </c>
      <c r="B8" s="2" t="inlineStr">
        <is>
          <t>Deferred Tax</t>
        </is>
      </c>
      <c r="C8" s="2" t="inlineStr">
        <is>
          <t>Validate invoice coding &amp; VAT fields</t>
        </is>
      </c>
      <c r="D8" s="2" t="inlineStr">
        <is>
          <t>You</t>
        </is>
      </c>
      <c r="E8" s="3" t="n">
        <v>46107</v>
      </c>
      <c r="F8" s="3" t="n">
        <v>46105</v>
      </c>
      <c r="G8" s="2" t="inlineStr">
        <is>
          <t>Done</t>
        </is>
      </c>
      <c r="H8" s="2" t="inlineStr"/>
      <c r="I8" s="2" t="inlineStr">
        <is>
          <t>Follow-up sent; awaiting response</t>
        </is>
      </c>
      <c r="J8" s="2" t="inlineStr">
        <is>
          <t>Yes</t>
        </is>
      </c>
    </row>
    <row r="9">
      <c r="A9" s="2" t="inlineStr">
        <is>
          <t>T-008</t>
        </is>
      </c>
      <c r="B9" s="2" t="inlineStr">
        <is>
          <t>Deferred Tax</t>
        </is>
      </c>
      <c r="C9" s="2" t="inlineStr">
        <is>
          <t>Review unusual variances / follow up</t>
        </is>
      </c>
      <c r="D9" s="2" t="inlineStr">
        <is>
          <t>Tax Compliance</t>
        </is>
      </c>
      <c r="E9" s="3" t="n">
        <v>46108</v>
      </c>
      <c r="F9" s="3" t="n">
        <v>46108</v>
      </c>
      <c r="G9" s="2" t="inlineStr">
        <is>
          <t>Done</t>
        </is>
      </c>
      <c r="H9" s="2" t="inlineStr">
        <is>
          <t>GL extract</t>
        </is>
      </c>
      <c r="I9" s="2" t="inlineStr">
        <is>
          <t>Link to folder / evidence</t>
        </is>
      </c>
      <c r="J9" s="2" t="inlineStr">
        <is>
          <t>No</t>
        </is>
      </c>
    </row>
    <row r="10">
      <c r="A10" s="2" t="inlineStr">
        <is>
          <t>T-009</t>
        </is>
      </c>
      <c r="B10" s="2" t="inlineStr">
        <is>
          <t>Controls</t>
        </is>
      </c>
      <c r="C10" s="2" t="inlineStr">
        <is>
          <t>Validate invoice coding &amp; VAT fields</t>
        </is>
      </c>
      <c r="D10" s="2" t="inlineStr">
        <is>
          <t>Closing &amp; Reporting</t>
        </is>
      </c>
      <c r="E10" s="3" t="n">
        <v>46109</v>
      </c>
      <c r="F10" s="3" t="n">
        <v>46109</v>
      </c>
      <c r="G10" s="2" t="inlineStr">
        <is>
          <t>Done</t>
        </is>
      </c>
      <c r="H10" s="2" t="inlineStr">
        <is>
          <t>Approval</t>
        </is>
      </c>
      <c r="I10" s="2" t="inlineStr">
        <is>
          <t>Link to folder / evidence</t>
        </is>
      </c>
      <c r="J10" s="2" t="inlineStr">
        <is>
          <t>No</t>
        </is>
      </c>
    </row>
    <row r="11">
      <c r="A11" s="2" t="inlineStr">
        <is>
          <t>T-010</t>
        </is>
      </c>
      <c r="B11" s="2" t="inlineStr">
        <is>
          <t>Deferred Tax</t>
        </is>
      </c>
      <c r="C11" s="2" t="inlineStr">
        <is>
          <t>Finalize and archive supporting documents</t>
        </is>
      </c>
      <c r="D11" s="2" t="inlineStr">
        <is>
          <t>Tax Compliance</t>
        </is>
      </c>
      <c r="E11" s="3" t="n">
        <v>46110</v>
      </c>
      <c r="F11" s="3" t="n">
        <v>46110</v>
      </c>
      <c r="G11" s="2" t="inlineStr">
        <is>
          <t>Done</t>
        </is>
      </c>
      <c r="H11" s="2" t="inlineStr"/>
      <c r="I11" s="2" t="inlineStr">
        <is>
          <t>Link to folder / evidence</t>
        </is>
      </c>
      <c r="J11" s="2" t="inlineStr">
        <is>
          <t>No</t>
        </is>
      </c>
    </row>
    <row r="12">
      <c r="A12" s="2" t="inlineStr">
        <is>
          <t>T-011</t>
        </is>
      </c>
      <c r="B12" s="2" t="inlineStr">
        <is>
          <t>Indirect Tax</t>
        </is>
      </c>
      <c r="C12" s="2" t="inlineStr">
        <is>
          <t>Prepare indirect tax calculation summary</t>
        </is>
      </c>
      <c r="D12" s="2" t="inlineStr">
        <is>
          <t>Tax Compliance</t>
        </is>
      </c>
      <c r="E12" s="3" t="n">
        <v>46111</v>
      </c>
      <c r="F12" s="3" t="n">
        <v>46111</v>
      </c>
      <c r="G12" s="2" t="inlineStr">
        <is>
          <t>Done</t>
        </is>
      </c>
      <c r="H12" s="2" t="inlineStr">
        <is>
          <t>SAP report</t>
        </is>
      </c>
      <c r="I12" s="2" t="inlineStr">
        <is>
          <t>Link to folder / evidence</t>
        </is>
      </c>
      <c r="J12" s="2" t="inlineStr">
        <is>
          <t>No</t>
        </is>
      </c>
    </row>
    <row r="13">
      <c r="A13" s="2" t="inlineStr">
        <is>
          <t>T-012</t>
        </is>
      </c>
      <c r="B13" s="2" t="inlineStr">
        <is>
          <t>Indirect Tax</t>
        </is>
      </c>
      <c r="C13" s="2" t="inlineStr">
        <is>
          <t>Update reporting pack inputs</t>
        </is>
      </c>
      <c r="D13" s="2" t="inlineStr">
        <is>
          <t>Tax Compliance</t>
        </is>
      </c>
      <c r="E13" s="3" t="n">
        <v>46106</v>
      </c>
      <c r="F13" s="3" t="n">
        <v>46104</v>
      </c>
      <c r="G13" s="2" t="inlineStr">
        <is>
          <t>Done</t>
        </is>
      </c>
      <c r="H13" s="2" t="inlineStr">
        <is>
          <t>Input from country</t>
        </is>
      </c>
      <c r="I13" s="2" t="inlineStr">
        <is>
          <t>Link to folder / evidence</t>
        </is>
      </c>
      <c r="J13" s="2" t="inlineStr">
        <is>
          <t>No</t>
        </is>
      </c>
    </row>
    <row r="14">
      <c r="A14" s="2" t="inlineStr">
        <is>
          <t>T-013</t>
        </is>
      </c>
      <c r="B14" s="2" t="inlineStr">
        <is>
          <t>Income Tax</t>
        </is>
      </c>
      <c r="C14" s="2" t="inlineStr">
        <is>
          <t>Review unusual variances / follow up</t>
        </is>
      </c>
      <c r="D14" s="2" t="inlineStr">
        <is>
          <t>Tax Compliance</t>
        </is>
      </c>
      <c r="E14" s="3" t="n">
        <v>46107</v>
      </c>
      <c r="F14" s="3" t="n">
        <v>46107</v>
      </c>
      <c r="G14" s="2" t="inlineStr">
        <is>
          <t>Done</t>
        </is>
      </c>
      <c r="H14" s="2" t="inlineStr">
        <is>
          <t>Input from country</t>
        </is>
      </c>
      <c r="I14" s="2" t="inlineStr">
        <is>
          <t>Link to folder / evidence</t>
        </is>
      </c>
      <c r="J14" s="2" t="inlineStr">
        <is>
          <t>No</t>
        </is>
      </c>
    </row>
    <row r="15">
      <c r="A15" s="2" t="inlineStr">
        <is>
          <t>T-014</t>
        </is>
      </c>
      <c r="B15" s="2" t="inlineStr">
        <is>
          <t>Indirect Tax</t>
        </is>
      </c>
      <c r="C15" s="2" t="inlineStr">
        <is>
          <t>Finalize and archive supporting documents</t>
        </is>
      </c>
      <c r="D15" s="2" t="inlineStr">
        <is>
          <t>A2R Team</t>
        </is>
      </c>
      <c r="E15" s="3" t="n">
        <v>46108</v>
      </c>
      <c r="F15" s="3" t="n">
        <v>46108</v>
      </c>
      <c r="G15" s="2" t="inlineStr">
        <is>
          <t>Done</t>
        </is>
      </c>
      <c r="H15" s="2" t="inlineStr">
        <is>
          <t>SAP report</t>
        </is>
      </c>
      <c r="I15" s="2" t="inlineStr">
        <is>
          <t>Follow-up sent; awaiting response</t>
        </is>
      </c>
      <c r="J15" s="2" t="inlineStr">
        <is>
          <t>Yes</t>
        </is>
      </c>
    </row>
    <row r="16">
      <c r="A16" s="2" t="inlineStr">
        <is>
          <t>T-015</t>
        </is>
      </c>
      <c r="B16" s="2" t="inlineStr">
        <is>
          <t>Reporting</t>
        </is>
      </c>
      <c r="C16" s="2" t="inlineStr">
        <is>
          <t>Update reporting pack inputs</t>
        </is>
      </c>
      <c r="D16" s="2" t="inlineStr">
        <is>
          <t>Tax Compliance</t>
        </is>
      </c>
      <c r="E16" s="3" t="n">
        <v>46109</v>
      </c>
      <c r="F16" s="3" t="n">
        <v>46109</v>
      </c>
      <c r="G16" s="2" t="inlineStr">
        <is>
          <t>Done</t>
        </is>
      </c>
      <c r="H16" s="2" t="inlineStr">
        <is>
          <t>Input from country</t>
        </is>
      </c>
      <c r="I16" s="2" t="inlineStr">
        <is>
          <t>Link to folder / evidence</t>
        </is>
      </c>
      <c r="J16" s="2" t="inlineStr">
        <is>
          <t>No</t>
        </is>
      </c>
    </row>
    <row r="17">
      <c r="A17" s="2" t="inlineStr">
        <is>
          <t>T-016</t>
        </is>
      </c>
      <c r="B17" s="2" t="inlineStr">
        <is>
          <t>Indirect Tax</t>
        </is>
      </c>
      <c r="C17" s="2" t="inlineStr">
        <is>
          <t>Prepare indirect tax calculation summary</t>
        </is>
      </c>
      <c r="D17" s="2" t="inlineStr">
        <is>
          <t>You</t>
        </is>
      </c>
      <c r="E17" s="3" t="n">
        <v>46110</v>
      </c>
      <c r="F17" s="3" t="n">
        <v>46109</v>
      </c>
      <c r="G17" s="2" t="inlineStr">
        <is>
          <t>Done</t>
        </is>
      </c>
      <c r="H17" s="2" t="inlineStr">
        <is>
          <t>GL extract</t>
        </is>
      </c>
      <c r="I17" s="2" t="inlineStr">
        <is>
          <t>Link to folder / evidence</t>
        </is>
      </c>
      <c r="J17" s="2" t="inlineStr">
        <is>
          <t>No</t>
        </is>
      </c>
    </row>
    <row r="18">
      <c r="A18" s="2" t="inlineStr">
        <is>
          <t>T-017</t>
        </is>
      </c>
      <c r="B18" s="2" t="inlineStr">
        <is>
          <t>Deferred Tax</t>
        </is>
      </c>
      <c r="C18" s="2" t="inlineStr">
        <is>
          <t>Validate invoice coding &amp; VAT fields</t>
        </is>
      </c>
      <c r="D18" s="2" t="inlineStr">
        <is>
          <t>A2R Team</t>
        </is>
      </c>
      <c r="E18" s="3" t="n">
        <v>46111</v>
      </c>
      <c r="F18" s="3" t="n">
        <v>46110</v>
      </c>
      <c r="G18" s="2" t="inlineStr">
        <is>
          <t>Done</t>
        </is>
      </c>
      <c r="H18" s="2" t="inlineStr">
        <is>
          <t>SAP report</t>
        </is>
      </c>
      <c r="I18" s="2" t="inlineStr">
        <is>
          <t>Link to folder / evidence</t>
        </is>
      </c>
      <c r="J18" s="2" t="inlineStr">
        <is>
          <t>No</t>
        </is>
      </c>
    </row>
    <row r="19">
      <c r="A19" s="2" t="inlineStr">
        <is>
          <t>T-018</t>
        </is>
      </c>
      <c r="B19" s="2" t="inlineStr">
        <is>
          <t>Reporting</t>
        </is>
      </c>
      <c r="C19" s="2" t="inlineStr">
        <is>
          <t>Update reporting pack inputs</t>
        </is>
      </c>
      <c r="D19" s="2" t="inlineStr">
        <is>
          <t>Closing &amp; Reporting</t>
        </is>
      </c>
      <c r="E19" s="3" t="n">
        <v>46106</v>
      </c>
      <c r="F19" s="3" t="n">
        <v>46106</v>
      </c>
      <c r="G19" s="2" t="inlineStr">
        <is>
          <t>Done</t>
        </is>
      </c>
      <c r="H19" s="2" t="inlineStr">
        <is>
          <t>Input from country</t>
        </is>
      </c>
      <c r="I19" s="2" t="inlineStr">
        <is>
          <t>Link to folder / evidence</t>
        </is>
      </c>
      <c r="J19" s="2" t="inlineStr">
        <is>
          <t>No</t>
        </is>
      </c>
    </row>
    <row r="20">
      <c r="A20" s="2" t="inlineStr">
        <is>
          <t>T-019</t>
        </is>
      </c>
      <c r="B20" s="2" t="inlineStr">
        <is>
          <t>Income Tax</t>
        </is>
      </c>
      <c r="C20" s="2" t="inlineStr">
        <is>
          <t>Prepare indirect tax calculation summary</t>
        </is>
      </c>
      <c r="D20" s="2" t="inlineStr">
        <is>
          <t>Tax Compliance</t>
        </is>
      </c>
      <c r="E20" s="3" t="n">
        <v>46107</v>
      </c>
      <c r="F20" s="3" t="n">
        <v>46105</v>
      </c>
      <c r="G20" s="2" t="inlineStr">
        <is>
          <t>Done</t>
        </is>
      </c>
      <c r="H20" s="2" t="inlineStr">
        <is>
          <t>Approval</t>
        </is>
      </c>
      <c r="I20" s="2" t="inlineStr">
        <is>
          <t>Link to folder / evidence</t>
        </is>
      </c>
      <c r="J20" s="2" t="inlineStr">
        <is>
          <t>No</t>
        </is>
      </c>
    </row>
    <row r="21">
      <c r="A21" s="2" t="inlineStr">
        <is>
          <t>T-020</t>
        </is>
      </c>
      <c r="B21" s="2" t="inlineStr">
        <is>
          <t>Reporting</t>
        </is>
      </c>
      <c r="C21" s="2" t="inlineStr">
        <is>
          <t>Review unusual variances / follow up</t>
        </is>
      </c>
      <c r="D21" s="2" t="inlineStr">
        <is>
          <t>A2R Team</t>
        </is>
      </c>
      <c r="E21" s="3" t="n">
        <v>46108</v>
      </c>
      <c r="F21" s="3" t="n">
        <v>46108</v>
      </c>
      <c r="G21" s="2" t="inlineStr">
        <is>
          <t>Done</t>
        </is>
      </c>
      <c r="H21" s="2" t="inlineStr">
        <is>
          <t>Approval</t>
        </is>
      </c>
      <c r="I21" s="2" t="inlineStr">
        <is>
          <t>Link to folder / evidence</t>
        </is>
      </c>
      <c r="J21" s="2" t="inlineStr">
        <is>
          <t>No</t>
        </is>
      </c>
    </row>
    <row r="22">
      <c r="A22" s="2" t="inlineStr">
        <is>
          <t>T-021</t>
        </is>
      </c>
      <c r="B22" s="2" t="inlineStr">
        <is>
          <t>Reporting</t>
        </is>
      </c>
      <c r="C22" s="2" t="inlineStr">
        <is>
          <t>Validate invoice coding &amp; VAT fields</t>
        </is>
      </c>
      <c r="D22" s="2" t="inlineStr">
        <is>
          <t>You</t>
        </is>
      </c>
      <c r="E22" s="3" t="n">
        <v>46109</v>
      </c>
      <c r="F22" s="3" t="n">
        <v>46109</v>
      </c>
      <c r="G22" s="2" t="inlineStr">
        <is>
          <t>Done</t>
        </is>
      </c>
      <c r="H22" s="2" t="inlineStr">
        <is>
          <t>SAP report</t>
        </is>
      </c>
      <c r="I22" s="2" t="inlineStr">
        <is>
          <t>Follow-up sent; awaiting response</t>
        </is>
      </c>
      <c r="J22" s="2" t="inlineStr">
        <is>
          <t>Yes</t>
        </is>
      </c>
    </row>
    <row r="23">
      <c r="A23" s="2" t="inlineStr">
        <is>
          <t>T-022</t>
        </is>
      </c>
      <c r="B23" s="2" t="inlineStr">
        <is>
          <t>Income Tax</t>
        </is>
      </c>
      <c r="C23" s="2" t="inlineStr">
        <is>
          <t>Update reporting pack inputs</t>
        </is>
      </c>
      <c r="D23" s="2" t="inlineStr">
        <is>
          <t>You</t>
        </is>
      </c>
      <c r="E23" s="3" t="n">
        <v>46110</v>
      </c>
      <c r="F23" s="3" t="n">
        <v>46108</v>
      </c>
      <c r="G23" s="2" t="inlineStr">
        <is>
          <t>Done</t>
        </is>
      </c>
      <c r="H23" s="2" t="inlineStr">
        <is>
          <t>GL extract</t>
        </is>
      </c>
      <c r="I23" s="2" t="inlineStr">
        <is>
          <t>Link to folder / evidence</t>
        </is>
      </c>
      <c r="J23" s="2" t="inlineStr">
        <is>
          <t>No</t>
        </is>
      </c>
    </row>
    <row r="24">
      <c r="A24" s="2" t="inlineStr">
        <is>
          <t>T-023</t>
        </is>
      </c>
      <c r="B24" s="2" t="inlineStr">
        <is>
          <t>Controls</t>
        </is>
      </c>
      <c r="C24" s="2" t="inlineStr">
        <is>
          <t>Perform completeness &amp; evidence check</t>
        </is>
      </c>
      <c r="D24" s="2" t="inlineStr">
        <is>
          <t>Tax Compliance</t>
        </is>
      </c>
      <c r="E24" s="3" t="n">
        <v>46111</v>
      </c>
      <c r="F24" s="3" t="n">
        <v>46111</v>
      </c>
      <c r="G24" s="2" t="inlineStr">
        <is>
          <t>Done</t>
        </is>
      </c>
      <c r="H24" s="2" t="inlineStr"/>
      <c r="I24" s="2" t="inlineStr">
        <is>
          <t>Link to folder / evidence</t>
        </is>
      </c>
      <c r="J24" s="2" t="inlineStr">
        <is>
          <t>No</t>
        </is>
      </c>
    </row>
    <row r="25">
      <c r="A25" s="2" t="inlineStr">
        <is>
          <t>T-024</t>
        </is>
      </c>
      <c r="B25" s="2" t="inlineStr">
        <is>
          <t>Controls</t>
        </is>
      </c>
      <c r="C25" s="2" t="inlineStr">
        <is>
          <t>Prepare deferred tax movements (template)</t>
        </is>
      </c>
      <c r="D25" s="2" t="inlineStr">
        <is>
          <t>Tax Compliance</t>
        </is>
      </c>
      <c r="E25" s="3" t="n">
        <v>46106</v>
      </c>
      <c r="F25" s="3" t="n">
        <v>46106</v>
      </c>
      <c r="G25" s="2" t="inlineStr">
        <is>
          <t>Done</t>
        </is>
      </c>
      <c r="H25" s="2" t="inlineStr">
        <is>
          <t>Input from country</t>
        </is>
      </c>
      <c r="I25" s="2" t="inlineStr">
        <is>
          <t>Link to folder / evidence</t>
        </is>
      </c>
      <c r="J25" s="2" t="inlineStr">
        <is>
          <t>No</t>
        </is>
      </c>
    </row>
    <row r="26">
      <c r="A26" s="2" t="inlineStr">
        <is>
          <t>T-025</t>
        </is>
      </c>
      <c r="B26" s="2" t="inlineStr">
        <is>
          <t>Reporting</t>
        </is>
      </c>
      <c r="C26" s="2" t="inlineStr">
        <is>
          <t>Run SAP invoice status report</t>
        </is>
      </c>
      <c r="D26" s="2" t="inlineStr">
        <is>
          <t>Closing &amp; Reporting</t>
        </is>
      </c>
      <c r="E26" s="3" t="n">
        <v>46107</v>
      </c>
      <c r="F26" s="3" t="n">
        <v>46107</v>
      </c>
      <c r="G26" s="2" t="inlineStr">
        <is>
          <t>Done</t>
        </is>
      </c>
      <c r="H26" s="2" t="inlineStr">
        <is>
          <t>Input from country</t>
        </is>
      </c>
      <c r="I26" s="2" t="inlineStr">
        <is>
          <t>Link to folder / evidence</t>
        </is>
      </c>
      <c r="J26" s="2" t="inlineStr">
        <is>
          <t>No</t>
        </is>
      </c>
    </row>
    <row r="27">
      <c r="A27" s="2" t="inlineStr">
        <is>
          <t>T-026</t>
        </is>
      </c>
      <c r="B27" s="2" t="inlineStr">
        <is>
          <t>Controls</t>
        </is>
      </c>
      <c r="C27" s="2" t="inlineStr">
        <is>
          <t>Run SAP invoice status report</t>
        </is>
      </c>
      <c r="D27" s="2" t="inlineStr">
        <is>
          <t>You</t>
        </is>
      </c>
      <c r="E27" s="3" t="n">
        <v>46108</v>
      </c>
      <c r="F27" s="3" t="n">
        <v>46107</v>
      </c>
      <c r="G27" s="2" t="inlineStr">
        <is>
          <t>Done</t>
        </is>
      </c>
      <c r="H27" s="2" t="inlineStr">
        <is>
          <t>Approval</t>
        </is>
      </c>
      <c r="I27" s="2" t="inlineStr">
        <is>
          <t>Link to folder / evidence</t>
        </is>
      </c>
      <c r="J27" s="2" t="inlineStr">
        <is>
          <t>No</t>
        </is>
      </c>
    </row>
    <row r="28">
      <c r="A28" s="2" t="inlineStr">
        <is>
          <t>T-027</t>
        </is>
      </c>
      <c r="B28" s="2" t="inlineStr">
        <is>
          <t>Controls</t>
        </is>
      </c>
      <c r="C28" s="2" t="inlineStr">
        <is>
          <t>Prepare indirect tax calculation summary</t>
        </is>
      </c>
      <c r="D28" s="2" t="inlineStr">
        <is>
          <t>A2R Team</t>
        </is>
      </c>
      <c r="E28" s="3" t="n">
        <v>46109</v>
      </c>
      <c r="F28" s="3" t="n">
        <v>46108</v>
      </c>
      <c r="G28" s="2" t="inlineStr">
        <is>
          <t>Done</t>
        </is>
      </c>
      <c r="H28" s="2" t="inlineStr">
        <is>
          <t>SAP report</t>
        </is>
      </c>
      <c r="I28" s="2" t="inlineStr">
        <is>
          <t>Link to folder / evidence</t>
        </is>
      </c>
      <c r="J28" s="2" t="inlineStr">
        <is>
          <t>No</t>
        </is>
      </c>
    </row>
    <row r="29">
      <c r="A29" s="2" t="inlineStr">
        <is>
          <t>T-028</t>
        </is>
      </c>
      <c r="B29" s="2" t="inlineStr">
        <is>
          <t>Controls</t>
        </is>
      </c>
      <c r="C29" s="2" t="inlineStr">
        <is>
          <t>Submit draft for review</t>
        </is>
      </c>
      <c r="D29" s="2" t="inlineStr">
        <is>
          <t>You</t>
        </is>
      </c>
      <c r="E29" s="3" t="n">
        <v>46110</v>
      </c>
      <c r="F29" s="3" t="n">
        <v>46109</v>
      </c>
      <c r="G29" s="2" t="inlineStr">
        <is>
          <t>Done</t>
        </is>
      </c>
      <c r="H29" s="2" t="inlineStr">
        <is>
          <t>GL extract</t>
        </is>
      </c>
      <c r="I29" s="2" t="inlineStr">
        <is>
          <t>Follow-up sent; awaiting response</t>
        </is>
      </c>
      <c r="J29" s="2" t="inlineStr">
        <is>
          <t>Yes</t>
        </is>
      </c>
    </row>
    <row r="30">
      <c r="A30" s="2" t="inlineStr">
        <is>
          <t>T-029</t>
        </is>
      </c>
      <c r="B30" s="2" t="inlineStr">
        <is>
          <t>Indirect Tax</t>
        </is>
      </c>
      <c r="C30" s="2" t="inlineStr">
        <is>
          <t>Validate invoice coding &amp; VAT fields</t>
        </is>
      </c>
      <c r="D30" s="2" t="inlineStr">
        <is>
          <t>Tax Compliance</t>
        </is>
      </c>
      <c r="E30" s="3" t="n">
        <v>46111</v>
      </c>
      <c r="F30" s="3" t="n">
        <v>46110</v>
      </c>
      <c r="G30" s="2" t="inlineStr">
        <is>
          <t>Done</t>
        </is>
      </c>
      <c r="H30" s="2" t="inlineStr">
        <is>
          <t>SAP report</t>
        </is>
      </c>
      <c r="I30" s="2" t="inlineStr">
        <is>
          <t>Link to folder / evidence</t>
        </is>
      </c>
      <c r="J30" s="2" t="inlineStr">
        <is>
          <t>No</t>
        </is>
      </c>
    </row>
    <row r="31">
      <c r="A31" s="2" t="inlineStr">
        <is>
          <t>T-030</t>
        </is>
      </c>
      <c r="B31" s="2" t="inlineStr">
        <is>
          <t>Indirect Tax</t>
        </is>
      </c>
      <c r="C31" s="2" t="inlineStr">
        <is>
          <t>Prepare indirect tax calculation summary</t>
        </is>
      </c>
      <c r="D31" s="2" t="inlineStr">
        <is>
          <t>You</t>
        </is>
      </c>
      <c r="E31" s="3" t="n">
        <v>46106</v>
      </c>
      <c r="F31" s="3" t="n">
        <v>46106</v>
      </c>
      <c r="G31" s="2" t="inlineStr">
        <is>
          <t>Done</t>
        </is>
      </c>
      <c r="H31" s="2" t="inlineStr">
        <is>
          <t>GL extract</t>
        </is>
      </c>
      <c r="I31" s="2" t="inlineStr">
        <is>
          <t>Link to folder / evidence</t>
        </is>
      </c>
      <c r="J31" s="2" t="inlineStr">
        <is>
          <t>No</t>
        </is>
      </c>
    </row>
    <row r="32">
      <c r="A32" s="2" t="inlineStr">
        <is>
          <t>T-031</t>
        </is>
      </c>
      <c r="B32" s="2" t="inlineStr">
        <is>
          <t>Indirect Tax</t>
        </is>
      </c>
      <c r="C32" s="2" t="inlineStr">
        <is>
          <t>Submit draft for review</t>
        </is>
      </c>
      <c r="D32" s="2" t="inlineStr">
        <is>
          <t>A2R Team</t>
        </is>
      </c>
      <c r="E32" s="3" t="n">
        <v>46107</v>
      </c>
      <c r="F32" s="3" t="n">
        <v>46107</v>
      </c>
      <c r="G32" s="2" t="inlineStr">
        <is>
          <t>Done</t>
        </is>
      </c>
      <c r="H32" s="2" t="inlineStr">
        <is>
          <t>GL extract</t>
        </is>
      </c>
      <c r="I32" s="2" t="inlineStr">
        <is>
          <t>Link to folder / evidence</t>
        </is>
      </c>
      <c r="J32" s="2" t="inlineStr">
        <is>
          <t>No</t>
        </is>
      </c>
    </row>
    <row r="33">
      <c r="A33" s="2" t="inlineStr">
        <is>
          <t>T-032</t>
        </is>
      </c>
      <c r="B33" s="2" t="inlineStr">
        <is>
          <t>Controls</t>
        </is>
      </c>
      <c r="C33" s="2" t="inlineStr">
        <is>
          <t>Run SAP invoice status report</t>
        </is>
      </c>
      <c r="D33" s="2" t="inlineStr">
        <is>
          <t>Tax Compliance</t>
        </is>
      </c>
      <c r="E33" s="3" t="n">
        <v>46108</v>
      </c>
      <c r="F33" s="3" t="n">
        <v>46106</v>
      </c>
      <c r="G33" s="2" t="inlineStr">
        <is>
          <t>Done</t>
        </is>
      </c>
      <c r="H33" s="2" t="inlineStr">
        <is>
          <t>SAP report</t>
        </is>
      </c>
      <c r="I33" s="2" t="inlineStr">
        <is>
          <t>Link to folder / evidence</t>
        </is>
      </c>
      <c r="J33" s="2" t="inlineStr">
        <is>
          <t>No</t>
        </is>
      </c>
    </row>
    <row r="34">
      <c r="A34" s="2" t="inlineStr">
        <is>
          <t>T-033</t>
        </is>
      </c>
      <c r="B34" s="2" t="inlineStr">
        <is>
          <t>Controls</t>
        </is>
      </c>
      <c r="C34" s="2" t="inlineStr">
        <is>
          <t>Prepare indirect tax calculation summary</t>
        </is>
      </c>
      <c r="D34" s="2" t="inlineStr">
        <is>
          <t>Tax Compliance</t>
        </is>
      </c>
      <c r="E34" s="3" t="n">
        <v>46109</v>
      </c>
      <c r="F34" s="3" t="n">
        <v>46107</v>
      </c>
      <c r="G34" s="2" t="inlineStr">
        <is>
          <t>Done</t>
        </is>
      </c>
      <c r="H34" s="2" t="inlineStr">
        <is>
          <t>Input from country</t>
        </is>
      </c>
      <c r="I34" s="2" t="inlineStr">
        <is>
          <t>Link to folder / evidence</t>
        </is>
      </c>
      <c r="J34" s="2" t="inlineStr">
        <is>
          <t>No</t>
        </is>
      </c>
    </row>
    <row r="35">
      <c r="A35" s="2" t="inlineStr">
        <is>
          <t>T-034</t>
        </is>
      </c>
      <c r="B35" s="2" t="inlineStr">
        <is>
          <t>Reporting</t>
        </is>
      </c>
      <c r="C35" s="2" t="inlineStr">
        <is>
          <t>Submit draft for review</t>
        </is>
      </c>
      <c r="D35" s="2" t="inlineStr">
        <is>
          <t>Closing &amp; Reporting</t>
        </is>
      </c>
      <c r="E35" s="3" t="n">
        <v>46110</v>
      </c>
      <c r="F35" s="3" t="n">
        <v>46110</v>
      </c>
      <c r="G35" s="2" t="inlineStr">
        <is>
          <t>Done</t>
        </is>
      </c>
      <c r="H35" s="2" t="inlineStr">
        <is>
          <t>SAP report</t>
        </is>
      </c>
      <c r="I35" s="2" t="inlineStr">
        <is>
          <t>Link to folder / evidence</t>
        </is>
      </c>
      <c r="J35" s="2" t="inlineStr">
        <is>
          <t>No</t>
        </is>
      </c>
    </row>
    <row r="36">
      <c r="A36" s="2" t="inlineStr">
        <is>
          <t>T-035</t>
        </is>
      </c>
      <c r="B36" s="2" t="inlineStr">
        <is>
          <t>Income Tax</t>
        </is>
      </c>
      <c r="C36" s="2" t="inlineStr">
        <is>
          <t>Validate invoice coding &amp; VAT fields</t>
        </is>
      </c>
      <c r="D36" s="2" t="inlineStr">
        <is>
          <t>Tax Compliance</t>
        </is>
      </c>
      <c r="E36" s="3" t="n">
        <v>46111</v>
      </c>
      <c r="F36" s="3" t="n">
        <v>46112</v>
      </c>
      <c r="G36" s="2" t="inlineStr">
        <is>
          <t>Done</t>
        </is>
      </c>
      <c r="H36" s="2" t="inlineStr">
        <is>
          <t>Approval</t>
        </is>
      </c>
      <c r="I36" s="2" t="inlineStr">
        <is>
          <t>Follow-up sent; awaiting response</t>
        </is>
      </c>
      <c r="J36" s="2" t="inlineStr">
        <is>
          <t>Yes</t>
        </is>
      </c>
    </row>
    <row r="37">
      <c r="A37" s="2" t="inlineStr">
        <is>
          <t>T-036</t>
        </is>
      </c>
      <c r="B37" s="2" t="inlineStr">
        <is>
          <t>Controls</t>
        </is>
      </c>
      <c r="C37" s="2" t="inlineStr">
        <is>
          <t>Prepare indirect tax calculation summary</t>
        </is>
      </c>
      <c r="D37" s="2" t="inlineStr">
        <is>
          <t>A2R Team</t>
        </is>
      </c>
      <c r="E37" s="3" t="n">
        <v>46106</v>
      </c>
      <c r="F37" s="3" t="n">
        <v>46107</v>
      </c>
      <c r="G37" s="2" t="inlineStr">
        <is>
          <t>Done</t>
        </is>
      </c>
      <c r="H37" s="2" t="inlineStr"/>
      <c r="I37" s="2" t="inlineStr">
        <is>
          <t>Link to folder / evidence</t>
        </is>
      </c>
      <c r="J37" s="2" t="inlineStr">
        <is>
          <t>No</t>
        </is>
      </c>
    </row>
    <row r="38">
      <c r="A38" s="2" t="inlineStr">
        <is>
          <t>T-037</t>
        </is>
      </c>
      <c r="B38" s="2" t="inlineStr">
        <is>
          <t>Indirect Tax</t>
        </is>
      </c>
      <c r="C38" s="2" t="inlineStr">
        <is>
          <t>Prepare indirect tax calculation summary</t>
        </is>
      </c>
      <c r="D38" s="2" t="inlineStr">
        <is>
          <t>You</t>
        </is>
      </c>
      <c r="E38" s="3" t="n">
        <v>46107</v>
      </c>
      <c r="F38" s="3" t="n">
        <v>46108</v>
      </c>
      <c r="G38" s="2" t="inlineStr">
        <is>
          <t>Done</t>
        </is>
      </c>
      <c r="H38" s="2" t="inlineStr">
        <is>
          <t>Input from country</t>
        </is>
      </c>
      <c r="I38" s="2" t="inlineStr">
        <is>
          <t>Link to folder / evidence</t>
        </is>
      </c>
      <c r="J38" s="2" t="inlineStr">
        <is>
          <t>No</t>
        </is>
      </c>
    </row>
    <row r="39">
      <c r="A39" s="2" t="inlineStr">
        <is>
          <t>T-038</t>
        </is>
      </c>
      <c r="B39" s="2" t="inlineStr">
        <is>
          <t>Indirect Tax</t>
        </is>
      </c>
      <c r="C39" s="2" t="inlineStr">
        <is>
          <t>Submit draft for review</t>
        </is>
      </c>
      <c r="D39" s="2" t="inlineStr">
        <is>
          <t>A2R Team</t>
        </is>
      </c>
      <c r="E39" s="3" t="n">
        <v>46108</v>
      </c>
      <c r="F39" s="3" t="n">
        <v>46110</v>
      </c>
      <c r="G39" s="2" t="inlineStr">
        <is>
          <t>Done</t>
        </is>
      </c>
      <c r="H39" s="2" t="inlineStr">
        <is>
          <t>GL extract</t>
        </is>
      </c>
      <c r="I39" s="2" t="inlineStr">
        <is>
          <t>Link to folder / evidence</t>
        </is>
      </c>
      <c r="J39" s="2" t="inlineStr">
        <is>
          <t>No</t>
        </is>
      </c>
    </row>
  </sheetData>
  <dataValidations count="2">
    <dataValidation sqref="G2 G3 G4 G5 G6 G7 G8 G9 G10 G11 G12 G13 G14 G15 G16 G17 G18 G19 G20 G21 G22 G23 G24 G25 G26 G27 G28 G29 G30 G31 G32 G33 G34 G35 G36 G37 G38 G39" showDropDown="0" showInputMessage="0" showErrorMessage="0" allowBlank="0" type="list">
      <formula1>"Not Started,In Progress,Done,Blocked"</formula1>
    </dataValidation>
    <dataValidation sqref="J2 J3 J4 J5 J6 J7 J8 J9 J10 J11 J12 J13 J14 J15 J16 J17 J18 J19 J20 J21 J22 J23 J24 J25 J26 J27 J28 J29 J30 J31 J32 J33 J34 J35 J36 J37 J38 J39"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0" customWidth="1" min="5" max="5"/>
    <col width="9" customWidth="1" min="6" max="6"/>
    <col width="16" customWidth="1" min="7" max="7"/>
    <col width="10" customWidth="1" min="8" max="8"/>
    <col width="16" customWidth="1" min="9" max="9"/>
    <col width="18" customWidth="1" min="10" max="10"/>
  </cols>
  <sheetData>
    <row r="1">
      <c r="A1" s="4" t="inlineStr">
        <is>
          <t>Invoice ID</t>
        </is>
      </c>
      <c r="B1" s="4" t="inlineStr">
        <is>
          <t>Vendor</t>
        </is>
      </c>
      <c r="C1" s="4" t="inlineStr">
        <is>
          <t>Invoice Date</t>
        </is>
      </c>
      <c r="D1" s="4" t="inlineStr">
        <is>
          <t>Due Date</t>
        </is>
      </c>
      <c r="E1" s="4" t="inlineStr">
        <is>
          <t>Amount</t>
        </is>
      </c>
      <c r="F1" s="4" t="inlineStr">
        <is>
          <t>Currency</t>
        </is>
      </c>
      <c r="G1" s="4" t="inlineStr">
        <is>
          <t>Status</t>
        </is>
      </c>
      <c r="H1" s="4" t="inlineStr">
        <is>
          <t>Aging Days</t>
        </is>
      </c>
      <c r="I1" s="4" t="inlineStr">
        <is>
          <t>Owner</t>
        </is>
      </c>
      <c r="J1" s="4" t="inlineStr">
        <is>
          <t>Notes</t>
        </is>
      </c>
    </row>
    <row r="2">
      <c r="A2" s="5" t="inlineStr">
        <is>
          <t>INV-10001</t>
        </is>
      </c>
      <c r="B2" s="5" t="inlineStr">
        <is>
          <t>Vendor B</t>
        </is>
      </c>
      <c r="C2" s="6" t="n">
        <v>46070</v>
      </c>
      <c r="D2" s="6" t="n">
        <v>46100</v>
      </c>
      <c r="E2" s="5" t="n">
        <v>704.9400000000001</v>
      </c>
      <c r="F2" s="5" t="inlineStr">
        <is>
          <t>EUR</t>
        </is>
      </c>
      <c r="G2" s="5" t="inlineStr">
        <is>
          <t>Paid</t>
        </is>
      </c>
      <c r="H2" s="5" t="n">
        <v>9</v>
      </c>
      <c r="I2" s="5" t="inlineStr">
        <is>
          <t>Closing &amp; Reporting</t>
        </is>
      </c>
      <c r="J2" s="5" t="inlineStr"/>
    </row>
    <row r="3">
      <c r="A3" s="5" t="inlineStr">
        <is>
          <t>INV-10002</t>
        </is>
      </c>
      <c r="B3" s="5" t="inlineStr">
        <is>
          <t>Vendor B</t>
        </is>
      </c>
      <c r="C3" s="6" t="n">
        <v>46054</v>
      </c>
      <c r="D3" s="6" t="n">
        <v>46084</v>
      </c>
      <c r="E3" s="5" t="n">
        <v>2391.22</v>
      </c>
      <c r="F3" s="5" t="inlineStr">
        <is>
          <t>EUR</t>
        </is>
      </c>
      <c r="G3" s="5" t="inlineStr">
        <is>
          <t>Pending Approval</t>
        </is>
      </c>
      <c r="H3" s="5" t="n">
        <v>25</v>
      </c>
      <c r="I3" s="5" t="inlineStr">
        <is>
          <t>You</t>
        </is>
      </c>
      <c r="J3" s="5" t="inlineStr">
        <is>
          <t>Needs follow-up</t>
        </is>
      </c>
    </row>
    <row r="4">
      <c r="A4" s="5" t="inlineStr">
        <is>
          <t>INV-10003</t>
        </is>
      </c>
      <c r="B4" s="5" t="inlineStr">
        <is>
          <t>Vendor A</t>
        </is>
      </c>
      <c r="C4" s="6" t="n">
        <v>46062</v>
      </c>
      <c r="D4" s="6" t="n">
        <v>46092</v>
      </c>
      <c r="E4" s="5" t="n">
        <v>2183.7</v>
      </c>
      <c r="F4" s="5" t="inlineStr">
        <is>
          <t>EUR</t>
        </is>
      </c>
      <c r="G4" s="5" t="inlineStr">
        <is>
          <t>Pending Approval</t>
        </is>
      </c>
      <c r="H4" s="5" t="n">
        <v>17</v>
      </c>
      <c r="I4" s="5" t="inlineStr">
        <is>
          <t>Closing &amp; Reporting</t>
        </is>
      </c>
      <c r="J4" s="5" t="inlineStr">
        <is>
          <t>Needs follow-up</t>
        </is>
      </c>
    </row>
    <row r="5">
      <c r="A5" s="5" t="inlineStr">
        <is>
          <t>INV-10004</t>
        </is>
      </c>
      <c r="B5" s="5" t="inlineStr">
        <is>
          <t>Vendor A</t>
        </is>
      </c>
      <c r="C5" s="6" t="n">
        <v>46061</v>
      </c>
      <c r="D5" s="6" t="n">
        <v>46091</v>
      </c>
      <c r="E5" s="5" t="n">
        <v>3284.6</v>
      </c>
      <c r="F5" s="5" t="inlineStr">
        <is>
          <t>EUR</t>
        </is>
      </c>
      <c r="G5" s="5" t="inlineStr">
        <is>
          <t>Blocked</t>
        </is>
      </c>
      <c r="H5" s="5" t="n">
        <v>18</v>
      </c>
      <c r="I5" s="5" t="inlineStr">
        <is>
          <t>You</t>
        </is>
      </c>
      <c r="J5" s="5" t="inlineStr">
        <is>
          <t>Needs follow-up</t>
        </is>
      </c>
    </row>
    <row r="6">
      <c r="A6" s="5" t="inlineStr">
        <is>
          <t>INV-10005</t>
        </is>
      </c>
      <c r="B6" s="5" t="inlineStr">
        <is>
          <t>Vendor D</t>
        </is>
      </c>
      <c r="C6" s="6" t="n">
        <v>46058</v>
      </c>
      <c r="D6" s="6" t="n">
        <v>46088</v>
      </c>
      <c r="E6" s="5" t="n">
        <v>1729.55</v>
      </c>
      <c r="F6" s="5" t="inlineStr">
        <is>
          <t>EUR</t>
        </is>
      </c>
      <c r="G6" s="5" t="inlineStr">
        <is>
          <t>Paid</t>
        </is>
      </c>
      <c r="H6" s="5" t="n">
        <v>21</v>
      </c>
      <c r="I6" s="5" t="inlineStr">
        <is>
          <t>A2R Team</t>
        </is>
      </c>
      <c r="J6" s="5" t="inlineStr"/>
    </row>
    <row r="7">
      <c r="A7" s="5" t="inlineStr">
        <is>
          <t>INV-10006</t>
        </is>
      </c>
      <c r="B7" s="5" t="inlineStr">
        <is>
          <t>Vendor B</t>
        </is>
      </c>
      <c r="C7" s="6" t="n">
        <v>46092</v>
      </c>
      <c r="D7" s="6" t="n">
        <v>46122</v>
      </c>
      <c r="E7" s="5" t="n">
        <v>2704.61</v>
      </c>
      <c r="F7" s="5" t="inlineStr">
        <is>
          <t>EUR</t>
        </is>
      </c>
      <c r="G7" s="5" t="inlineStr">
        <is>
          <t>Posted</t>
        </is>
      </c>
      <c r="H7" s="5" t="n">
        <v>-13</v>
      </c>
      <c r="I7" s="5" t="inlineStr">
        <is>
          <t>A2R Team</t>
        </is>
      </c>
      <c r="J7" s="5" t="inlineStr"/>
    </row>
    <row r="8">
      <c r="A8" s="5" t="inlineStr">
        <is>
          <t>INV-10007</t>
        </is>
      </c>
      <c r="B8" s="5" t="inlineStr">
        <is>
          <t>Vendor C</t>
        </is>
      </c>
      <c r="C8" s="6" t="n">
        <v>46075</v>
      </c>
      <c r="D8" s="6" t="n">
        <v>46105</v>
      </c>
      <c r="E8" s="5" t="n">
        <v>1286.54</v>
      </c>
      <c r="F8" s="5" t="inlineStr">
        <is>
          <t>EUR</t>
        </is>
      </c>
      <c r="G8" s="5" t="inlineStr">
        <is>
          <t>Paid</t>
        </is>
      </c>
      <c r="H8" s="5" t="n">
        <v>4</v>
      </c>
      <c r="I8" s="5" t="inlineStr">
        <is>
          <t>Closing &amp; Reporting</t>
        </is>
      </c>
      <c r="J8" s="5" t="inlineStr"/>
    </row>
    <row r="9">
      <c r="A9" s="5" t="inlineStr">
        <is>
          <t>INV-10008</t>
        </is>
      </c>
      <c r="B9" s="5" t="inlineStr">
        <is>
          <t>Vendor E</t>
        </is>
      </c>
      <c r="C9" s="6" t="n">
        <v>46098</v>
      </c>
      <c r="D9" s="6" t="n">
        <v>46128</v>
      </c>
      <c r="E9" s="5" t="n">
        <v>300.41</v>
      </c>
      <c r="F9" s="5" t="inlineStr">
        <is>
          <t>EUR</t>
        </is>
      </c>
      <c r="G9" s="5" t="inlineStr">
        <is>
          <t>Paid</t>
        </is>
      </c>
      <c r="H9" s="5" t="n">
        <v>-19</v>
      </c>
      <c r="I9" s="5" t="inlineStr">
        <is>
          <t>You</t>
        </is>
      </c>
      <c r="J9" s="5" t="inlineStr"/>
    </row>
    <row r="10">
      <c r="A10" s="5" t="inlineStr">
        <is>
          <t>INV-10009</t>
        </is>
      </c>
      <c r="B10" s="5" t="inlineStr">
        <is>
          <t>Vendor A</t>
        </is>
      </c>
      <c r="C10" s="6" t="n">
        <v>46056</v>
      </c>
      <c r="D10" s="6" t="n">
        <v>46086</v>
      </c>
      <c r="E10" s="5" t="n">
        <v>4251.04</v>
      </c>
      <c r="F10" s="5" t="inlineStr">
        <is>
          <t>EUR</t>
        </is>
      </c>
      <c r="G10" s="5" t="inlineStr">
        <is>
          <t>Posted</t>
        </is>
      </c>
      <c r="H10" s="5" t="n">
        <v>23</v>
      </c>
      <c r="I10" s="5" t="inlineStr">
        <is>
          <t>Closing &amp; Reporting</t>
        </is>
      </c>
      <c r="J10" s="5" t="inlineStr"/>
    </row>
    <row r="11">
      <c r="A11" s="5" t="inlineStr">
        <is>
          <t>INV-10010</t>
        </is>
      </c>
      <c r="B11" s="5" t="inlineStr">
        <is>
          <t>Vendor D</t>
        </is>
      </c>
      <c r="C11" s="6" t="n">
        <v>46091</v>
      </c>
      <c r="D11" s="6" t="n">
        <v>46121</v>
      </c>
      <c r="E11" s="5" t="n">
        <v>4330.02</v>
      </c>
      <c r="F11" s="5" t="inlineStr">
        <is>
          <t>EUR</t>
        </is>
      </c>
      <c r="G11" s="5" t="inlineStr">
        <is>
          <t>Paid</t>
        </is>
      </c>
      <c r="H11" s="5" t="n">
        <v>-12</v>
      </c>
      <c r="I11" s="5" t="inlineStr">
        <is>
          <t>A2R Team</t>
        </is>
      </c>
      <c r="J11" s="5" t="inlineStr"/>
    </row>
    <row r="12">
      <c r="A12" s="5" t="inlineStr">
        <is>
          <t>INV-10011</t>
        </is>
      </c>
      <c r="B12" s="5" t="inlineStr">
        <is>
          <t>Vendor D</t>
        </is>
      </c>
      <c r="C12" s="6" t="n">
        <v>46104</v>
      </c>
      <c r="D12" s="6" t="n">
        <v>46134</v>
      </c>
      <c r="E12" s="5" t="n">
        <v>4927.28</v>
      </c>
      <c r="F12" s="5" t="inlineStr">
        <is>
          <t>EUR</t>
        </is>
      </c>
      <c r="G12" s="5" t="inlineStr">
        <is>
          <t>Posted</t>
        </is>
      </c>
      <c r="H12" s="5" t="n">
        <v>-25</v>
      </c>
      <c r="I12" s="5" t="inlineStr">
        <is>
          <t>Closing &amp; Reporting</t>
        </is>
      </c>
      <c r="J12" s="5" t="inlineStr"/>
    </row>
    <row r="13">
      <c r="A13" s="5" t="inlineStr">
        <is>
          <t>INV-10012</t>
        </is>
      </c>
      <c r="B13" s="5" t="inlineStr">
        <is>
          <t>Vendor C</t>
        </is>
      </c>
      <c r="C13" s="6" t="n">
        <v>46077</v>
      </c>
      <c r="D13" s="6" t="n">
        <v>46107</v>
      </c>
      <c r="E13" s="5" t="n">
        <v>3498.13</v>
      </c>
      <c r="F13" s="5" t="inlineStr">
        <is>
          <t>EUR</t>
        </is>
      </c>
      <c r="G13" s="5" t="inlineStr">
        <is>
          <t>On Hold</t>
        </is>
      </c>
      <c r="H13" s="5" t="n">
        <v>2</v>
      </c>
      <c r="I13" s="5" t="inlineStr">
        <is>
          <t>Closing &amp; Reporting</t>
        </is>
      </c>
      <c r="J13" s="5" t="inlineStr">
        <is>
          <t>Needs follow-up</t>
        </is>
      </c>
    </row>
    <row r="14">
      <c r="A14" s="5" t="inlineStr">
        <is>
          <t>INV-10013</t>
        </is>
      </c>
      <c r="B14" s="5" t="inlineStr">
        <is>
          <t>Vendor B</t>
        </is>
      </c>
      <c r="C14" s="6" t="n">
        <v>46092</v>
      </c>
      <c r="D14" s="6" t="n">
        <v>46122</v>
      </c>
      <c r="E14" s="5" t="n">
        <v>1518.7</v>
      </c>
      <c r="F14" s="5" t="inlineStr">
        <is>
          <t>EUR</t>
        </is>
      </c>
      <c r="G14" s="5" t="inlineStr">
        <is>
          <t>Paid</t>
        </is>
      </c>
      <c r="H14" s="5" t="n">
        <v>-13</v>
      </c>
      <c r="I14" s="5" t="inlineStr">
        <is>
          <t>You</t>
        </is>
      </c>
      <c r="J14" s="5" t="inlineStr"/>
    </row>
    <row r="15">
      <c r="A15" s="5" t="inlineStr">
        <is>
          <t>INV-10014</t>
        </is>
      </c>
      <c r="B15" s="5" t="inlineStr">
        <is>
          <t>Vendor C</t>
        </is>
      </c>
      <c r="C15" s="6" t="n">
        <v>46101</v>
      </c>
      <c r="D15" s="6" t="n">
        <v>46131</v>
      </c>
      <c r="E15" s="5" t="n">
        <v>298.2</v>
      </c>
      <c r="F15" s="5" t="inlineStr">
        <is>
          <t>EUR</t>
        </is>
      </c>
      <c r="G15" s="5" t="inlineStr">
        <is>
          <t>Pending Approval</t>
        </is>
      </c>
      <c r="H15" s="5" t="n">
        <v>-22</v>
      </c>
      <c r="I15" s="5" t="inlineStr">
        <is>
          <t>A2R Team</t>
        </is>
      </c>
      <c r="J15" s="5" t="inlineStr">
        <is>
          <t>Needs follow-up</t>
        </is>
      </c>
    </row>
    <row r="16">
      <c r="A16" s="5" t="inlineStr">
        <is>
          <t>INV-10015</t>
        </is>
      </c>
      <c r="B16" s="5" t="inlineStr">
        <is>
          <t>Vendor A</t>
        </is>
      </c>
      <c r="C16" s="6" t="n">
        <v>46072</v>
      </c>
      <c r="D16" s="6" t="n">
        <v>46102</v>
      </c>
      <c r="E16" s="5" t="n">
        <v>446.55</v>
      </c>
      <c r="F16" s="5" t="inlineStr">
        <is>
          <t>EUR</t>
        </is>
      </c>
      <c r="G16" s="5" t="inlineStr">
        <is>
          <t>Posted</t>
        </is>
      </c>
      <c r="H16" s="5" t="n">
        <v>7</v>
      </c>
      <c r="I16" s="5" t="inlineStr">
        <is>
          <t>You</t>
        </is>
      </c>
      <c r="J16" s="5" t="inlineStr"/>
    </row>
    <row r="17">
      <c r="A17" s="5" t="inlineStr">
        <is>
          <t>INV-10016</t>
        </is>
      </c>
      <c r="B17" s="5" t="inlineStr">
        <is>
          <t>Vendor B</t>
        </is>
      </c>
      <c r="C17" s="6" t="n">
        <v>46079</v>
      </c>
      <c r="D17" s="6" t="n">
        <v>46109</v>
      </c>
      <c r="E17" s="5" t="n">
        <v>643.4400000000001</v>
      </c>
      <c r="F17" s="5" t="inlineStr">
        <is>
          <t>EUR</t>
        </is>
      </c>
      <c r="G17" s="5" t="inlineStr">
        <is>
          <t>Paid</t>
        </is>
      </c>
      <c r="H17" s="5" t="n">
        <v>0</v>
      </c>
      <c r="I17" s="5" t="inlineStr">
        <is>
          <t>A2R Team</t>
        </is>
      </c>
      <c r="J17" s="5" t="inlineStr"/>
    </row>
    <row r="18">
      <c r="A18" s="5" t="inlineStr">
        <is>
          <t>INV-10017</t>
        </is>
      </c>
      <c r="B18" s="5" t="inlineStr">
        <is>
          <t>Vendor E</t>
        </is>
      </c>
      <c r="C18" s="6" t="n">
        <v>46066</v>
      </c>
      <c r="D18" s="6" t="n">
        <v>46096</v>
      </c>
      <c r="E18" s="5" t="n">
        <v>246.72</v>
      </c>
      <c r="F18" s="5" t="inlineStr">
        <is>
          <t>EUR</t>
        </is>
      </c>
      <c r="G18" s="5" t="inlineStr">
        <is>
          <t>Posted</t>
        </is>
      </c>
      <c r="H18" s="5" t="n">
        <v>13</v>
      </c>
      <c r="I18" s="5" t="inlineStr">
        <is>
          <t>Tax Compliance</t>
        </is>
      </c>
      <c r="J18" s="5" t="inlineStr"/>
    </row>
    <row r="19">
      <c r="A19" s="5" t="inlineStr">
        <is>
          <t>INV-10018</t>
        </is>
      </c>
      <c r="B19" s="5" t="inlineStr">
        <is>
          <t>Vendor C</t>
        </is>
      </c>
      <c r="C19" s="6" t="n">
        <v>46091</v>
      </c>
      <c r="D19" s="6" t="n">
        <v>46121</v>
      </c>
      <c r="E19" s="5" t="n">
        <v>3365.14</v>
      </c>
      <c r="F19" s="5" t="inlineStr">
        <is>
          <t>EUR</t>
        </is>
      </c>
      <c r="G19" s="5" t="inlineStr">
        <is>
          <t>Pending Approval</t>
        </is>
      </c>
      <c r="H19" s="5" t="n">
        <v>-12</v>
      </c>
      <c r="I19" s="5" t="inlineStr">
        <is>
          <t>Tax Compliance</t>
        </is>
      </c>
      <c r="J19" s="5" t="inlineStr">
        <is>
          <t>Needs follow-up</t>
        </is>
      </c>
    </row>
    <row r="20">
      <c r="A20" s="5" t="inlineStr">
        <is>
          <t>INV-10019</t>
        </is>
      </c>
      <c r="B20" s="5" t="inlineStr">
        <is>
          <t>Vendor D</t>
        </is>
      </c>
      <c r="C20" s="6" t="n">
        <v>46096</v>
      </c>
      <c r="D20" s="6" t="n">
        <v>46126</v>
      </c>
      <c r="E20" s="5" t="n">
        <v>3374.87</v>
      </c>
      <c r="F20" s="5" t="inlineStr">
        <is>
          <t>EUR</t>
        </is>
      </c>
      <c r="G20" s="5" t="inlineStr">
        <is>
          <t>Posted</t>
        </is>
      </c>
      <c r="H20" s="5" t="n">
        <v>-17</v>
      </c>
      <c r="I20" s="5" t="inlineStr">
        <is>
          <t>Tax Compliance</t>
        </is>
      </c>
      <c r="J20" s="5" t="inlineStr"/>
    </row>
    <row r="21">
      <c r="A21" s="5" t="inlineStr">
        <is>
          <t>INV-10020</t>
        </is>
      </c>
      <c r="B21" s="5" t="inlineStr">
        <is>
          <t>Vendor A</t>
        </is>
      </c>
      <c r="C21" s="6" t="n">
        <v>46104</v>
      </c>
      <c r="D21" s="6" t="n">
        <v>46134</v>
      </c>
      <c r="E21" s="5" t="n">
        <v>2318.51</v>
      </c>
      <c r="F21" s="5" t="inlineStr">
        <is>
          <t>EUR</t>
        </is>
      </c>
      <c r="G21" s="5" t="inlineStr">
        <is>
          <t>Paid</t>
        </is>
      </c>
      <c r="H21" s="5" t="n">
        <v>-25</v>
      </c>
      <c r="I21" s="5" t="inlineStr">
        <is>
          <t>You</t>
        </is>
      </c>
      <c r="J21" s="5" t="inlineStr"/>
    </row>
    <row r="22">
      <c r="A22" s="5" t="inlineStr">
        <is>
          <t>INV-10021</t>
        </is>
      </c>
      <c r="B22" s="5" t="inlineStr">
        <is>
          <t>Vendor A</t>
        </is>
      </c>
      <c r="C22" s="6" t="n">
        <v>46070</v>
      </c>
      <c r="D22" s="6" t="n">
        <v>46100</v>
      </c>
      <c r="E22" s="5" t="n">
        <v>1105.11</v>
      </c>
      <c r="F22" s="5" t="inlineStr">
        <is>
          <t>EUR</t>
        </is>
      </c>
      <c r="G22" s="5" t="inlineStr">
        <is>
          <t>Posted</t>
        </is>
      </c>
      <c r="H22" s="5" t="n">
        <v>9</v>
      </c>
      <c r="I22" s="5" t="inlineStr">
        <is>
          <t>Tax Compliance</t>
        </is>
      </c>
      <c r="J22" s="5" t="inlineStr"/>
    </row>
    <row r="23">
      <c r="A23" s="5" t="inlineStr">
        <is>
          <t>INV-10022</t>
        </is>
      </c>
      <c r="B23" s="5" t="inlineStr">
        <is>
          <t>Vendor A</t>
        </is>
      </c>
      <c r="C23" s="6" t="n">
        <v>46089</v>
      </c>
      <c r="D23" s="6" t="n">
        <v>46119</v>
      </c>
      <c r="E23" s="5" t="n">
        <v>1879.16</v>
      </c>
      <c r="F23" s="5" t="inlineStr">
        <is>
          <t>EUR</t>
        </is>
      </c>
      <c r="G23" s="5" t="inlineStr">
        <is>
          <t>Posted</t>
        </is>
      </c>
      <c r="H23" s="5" t="n">
        <v>-10</v>
      </c>
      <c r="I23" s="5" t="inlineStr">
        <is>
          <t>Tax Compliance</t>
        </is>
      </c>
      <c r="J23" s="5" t="inlineStr"/>
    </row>
    <row r="24">
      <c r="A24" s="5" t="inlineStr">
        <is>
          <t>INV-10023</t>
        </is>
      </c>
      <c r="B24" s="5" t="inlineStr">
        <is>
          <t>Vendor E</t>
        </is>
      </c>
      <c r="C24" s="6" t="n">
        <v>46053</v>
      </c>
      <c r="D24" s="6" t="n">
        <v>46083</v>
      </c>
      <c r="E24" s="5" t="n">
        <v>3287.18</v>
      </c>
      <c r="F24" s="5" t="inlineStr">
        <is>
          <t>EUR</t>
        </is>
      </c>
      <c r="G24" s="5" t="inlineStr">
        <is>
          <t>Posted</t>
        </is>
      </c>
      <c r="H24" s="5" t="n">
        <v>26</v>
      </c>
      <c r="I24" s="5" t="inlineStr">
        <is>
          <t>Tax Compliance</t>
        </is>
      </c>
      <c r="J24" s="5" t="inlineStr"/>
    </row>
    <row r="25">
      <c r="A25" s="5" t="inlineStr">
        <is>
          <t>INV-10024</t>
        </is>
      </c>
      <c r="B25" s="5" t="inlineStr">
        <is>
          <t>Vendor A</t>
        </is>
      </c>
      <c r="C25" s="6" t="n">
        <v>46096</v>
      </c>
      <c r="D25" s="6" t="n">
        <v>46126</v>
      </c>
      <c r="E25" s="5" t="n">
        <v>1359.11</v>
      </c>
      <c r="F25" s="5" t="inlineStr">
        <is>
          <t>EUR</t>
        </is>
      </c>
      <c r="G25" s="5" t="inlineStr">
        <is>
          <t>Paid</t>
        </is>
      </c>
      <c r="H25" s="5" t="n">
        <v>-17</v>
      </c>
      <c r="I25" s="5" t="inlineStr">
        <is>
          <t>A2R Team</t>
        </is>
      </c>
      <c r="J25" s="5" t="inlineStr"/>
    </row>
    <row r="26">
      <c r="A26" s="5" t="inlineStr">
        <is>
          <t>INV-10025</t>
        </is>
      </c>
      <c r="B26" s="5" t="inlineStr">
        <is>
          <t>Vendor C</t>
        </is>
      </c>
      <c r="C26" s="6" t="n">
        <v>46086</v>
      </c>
      <c r="D26" s="6" t="n">
        <v>46116</v>
      </c>
      <c r="E26" s="5" t="n">
        <v>3043.91</v>
      </c>
      <c r="F26" s="5" t="inlineStr">
        <is>
          <t>EUR</t>
        </is>
      </c>
      <c r="G26" s="5" t="inlineStr">
        <is>
          <t>On Hold</t>
        </is>
      </c>
      <c r="H26" s="5" t="n">
        <v>-7</v>
      </c>
      <c r="I26" s="5" t="inlineStr">
        <is>
          <t>A2R Team</t>
        </is>
      </c>
      <c r="J26" s="5" t="inlineStr">
        <is>
          <t>Needs follow-up</t>
        </is>
      </c>
    </row>
    <row r="27">
      <c r="A27" s="5" t="inlineStr">
        <is>
          <t>INV-10026</t>
        </is>
      </c>
      <c r="B27" s="5" t="inlineStr">
        <is>
          <t>Vendor C</t>
        </is>
      </c>
      <c r="C27" s="6" t="n">
        <v>46072</v>
      </c>
      <c r="D27" s="6" t="n">
        <v>46102</v>
      </c>
      <c r="E27" s="5" t="n">
        <v>2468.23</v>
      </c>
      <c r="F27" s="5" t="inlineStr">
        <is>
          <t>EUR</t>
        </is>
      </c>
      <c r="G27" s="5" t="inlineStr">
        <is>
          <t>Paid</t>
        </is>
      </c>
      <c r="H27" s="5" t="n">
        <v>7</v>
      </c>
      <c r="I27" s="5" t="inlineStr">
        <is>
          <t>You</t>
        </is>
      </c>
      <c r="J27" s="5" t="inlineStr"/>
    </row>
    <row r="28">
      <c r="A28" s="5" t="inlineStr">
        <is>
          <t>INV-10027</t>
        </is>
      </c>
      <c r="B28" s="5" t="inlineStr">
        <is>
          <t>Vendor A</t>
        </is>
      </c>
      <c r="C28" s="6" t="n">
        <v>46064</v>
      </c>
      <c r="D28" s="6" t="n">
        <v>46094</v>
      </c>
      <c r="E28" s="5" t="n">
        <v>2146.7</v>
      </c>
      <c r="F28" s="5" t="inlineStr">
        <is>
          <t>EUR</t>
        </is>
      </c>
      <c r="G28" s="5" t="inlineStr">
        <is>
          <t>Posted</t>
        </is>
      </c>
      <c r="H28" s="5" t="n">
        <v>15</v>
      </c>
      <c r="I28" s="5" t="inlineStr">
        <is>
          <t>You</t>
        </is>
      </c>
      <c r="J28" s="5" t="inlineStr"/>
    </row>
    <row r="29">
      <c r="A29" s="5" t="inlineStr">
        <is>
          <t>INV-10028</t>
        </is>
      </c>
      <c r="B29" s="5" t="inlineStr">
        <is>
          <t>Vendor C</t>
        </is>
      </c>
      <c r="C29" s="6" t="n">
        <v>46055</v>
      </c>
      <c r="D29" s="6" t="n">
        <v>46085</v>
      </c>
      <c r="E29" s="5" t="n">
        <v>697.5599999999999</v>
      </c>
      <c r="F29" s="5" t="inlineStr">
        <is>
          <t>EUR</t>
        </is>
      </c>
      <c r="G29" s="5" t="inlineStr">
        <is>
          <t>Paid</t>
        </is>
      </c>
      <c r="H29" s="5" t="n">
        <v>24</v>
      </c>
      <c r="I29" s="5" t="inlineStr">
        <is>
          <t>A2R Team</t>
        </is>
      </c>
      <c r="J29" s="5" t="inlineStr"/>
    </row>
    <row r="30">
      <c r="A30" s="5" t="inlineStr">
        <is>
          <t>INV-10029</t>
        </is>
      </c>
      <c r="B30" s="5" t="inlineStr">
        <is>
          <t>Vendor D</t>
        </is>
      </c>
      <c r="C30" s="6" t="n">
        <v>46069</v>
      </c>
      <c r="D30" s="6" t="n">
        <v>46099</v>
      </c>
      <c r="E30" s="5" t="n">
        <v>3543.05</v>
      </c>
      <c r="F30" s="5" t="inlineStr">
        <is>
          <t>EUR</t>
        </is>
      </c>
      <c r="G30" s="5" t="inlineStr">
        <is>
          <t>Blocked</t>
        </is>
      </c>
      <c r="H30" s="5" t="n">
        <v>10</v>
      </c>
      <c r="I30" s="5" t="inlineStr">
        <is>
          <t>You</t>
        </is>
      </c>
      <c r="J30" s="5" t="inlineStr">
        <is>
          <t>Needs follow-up</t>
        </is>
      </c>
    </row>
    <row r="31">
      <c r="A31" s="5" t="inlineStr">
        <is>
          <t>INV-10030</t>
        </is>
      </c>
      <c r="B31" s="5" t="inlineStr">
        <is>
          <t>Vendor A</t>
        </is>
      </c>
      <c r="C31" s="6" t="n">
        <v>46060</v>
      </c>
      <c r="D31" s="6" t="n">
        <v>46090</v>
      </c>
      <c r="E31" s="5" t="n">
        <v>4524.45</v>
      </c>
      <c r="F31" s="5" t="inlineStr">
        <is>
          <t>EUR</t>
        </is>
      </c>
      <c r="G31" s="5" t="inlineStr">
        <is>
          <t>Blocked</t>
        </is>
      </c>
      <c r="H31" s="5" t="n">
        <v>19</v>
      </c>
      <c r="I31" s="5" t="inlineStr">
        <is>
          <t>Tax Compliance</t>
        </is>
      </c>
      <c r="J31" s="5" t="inlineStr">
        <is>
          <t>Needs follow-up</t>
        </is>
      </c>
    </row>
    <row r="32">
      <c r="A32" s="5" t="inlineStr">
        <is>
          <t>INV-10031</t>
        </is>
      </c>
      <c r="B32" s="5" t="inlineStr">
        <is>
          <t>Vendor E</t>
        </is>
      </c>
      <c r="C32" s="6" t="n">
        <v>46069</v>
      </c>
      <c r="D32" s="6" t="n">
        <v>46099</v>
      </c>
      <c r="E32" s="5" t="n">
        <v>783.0599999999999</v>
      </c>
      <c r="F32" s="5" t="inlineStr">
        <is>
          <t>EUR</t>
        </is>
      </c>
      <c r="G32" s="5" t="inlineStr">
        <is>
          <t>Posted</t>
        </is>
      </c>
      <c r="H32" s="5" t="n">
        <v>10</v>
      </c>
      <c r="I32" s="5" t="inlineStr">
        <is>
          <t>Tax Compliance</t>
        </is>
      </c>
      <c r="J32" s="5" t="inlineStr"/>
    </row>
    <row r="33">
      <c r="A33" s="5" t="inlineStr">
        <is>
          <t>INV-10032</t>
        </is>
      </c>
      <c r="B33" s="5" t="inlineStr">
        <is>
          <t>Vendor C</t>
        </is>
      </c>
      <c r="C33" s="6" t="n">
        <v>46054</v>
      </c>
      <c r="D33" s="6" t="n">
        <v>46084</v>
      </c>
      <c r="E33" s="5" t="n">
        <v>4862.37</v>
      </c>
      <c r="F33" s="5" t="inlineStr">
        <is>
          <t>EUR</t>
        </is>
      </c>
      <c r="G33" s="5" t="inlineStr">
        <is>
          <t>Posted</t>
        </is>
      </c>
      <c r="H33" s="5" t="n">
        <v>25</v>
      </c>
      <c r="I33" s="5" t="inlineStr">
        <is>
          <t>Tax Compliance</t>
        </is>
      </c>
      <c r="J33" s="5" t="inlineStr"/>
    </row>
    <row r="34">
      <c r="A34" s="5" t="inlineStr">
        <is>
          <t>INV-10033</t>
        </is>
      </c>
      <c r="B34" s="5" t="inlineStr">
        <is>
          <t>Vendor B</t>
        </is>
      </c>
      <c r="C34" s="6" t="n">
        <v>46061</v>
      </c>
      <c r="D34" s="6" t="n">
        <v>46091</v>
      </c>
      <c r="E34" s="5" t="n">
        <v>1285.17</v>
      </c>
      <c r="F34" s="5" t="inlineStr">
        <is>
          <t>EUR</t>
        </is>
      </c>
      <c r="G34" s="5" t="inlineStr">
        <is>
          <t>Posted</t>
        </is>
      </c>
      <c r="H34" s="5" t="n">
        <v>18</v>
      </c>
      <c r="I34" s="5" t="inlineStr">
        <is>
          <t>Closing &amp; Reporting</t>
        </is>
      </c>
      <c r="J34" s="5" t="inlineStr"/>
    </row>
    <row r="35">
      <c r="A35" s="5" t="inlineStr">
        <is>
          <t>INV-10034</t>
        </is>
      </c>
      <c r="B35" s="5" t="inlineStr">
        <is>
          <t>Vendor E</t>
        </is>
      </c>
      <c r="C35" s="6" t="n">
        <v>46057</v>
      </c>
      <c r="D35" s="6" t="n">
        <v>46087</v>
      </c>
      <c r="E35" s="5" t="n">
        <v>815.04</v>
      </c>
      <c r="F35" s="5" t="inlineStr">
        <is>
          <t>EUR</t>
        </is>
      </c>
      <c r="G35" s="5" t="inlineStr">
        <is>
          <t>Paid</t>
        </is>
      </c>
      <c r="H35" s="5" t="n">
        <v>22</v>
      </c>
      <c r="I35" s="5" t="inlineStr">
        <is>
          <t>A2R Team</t>
        </is>
      </c>
      <c r="J35" s="5" t="inlineStr"/>
    </row>
    <row r="36">
      <c r="A36" s="5" t="inlineStr">
        <is>
          <t>INV-10035</t>
        </is>
      </c>
      <c r="B36" s="5" t="inlineStr">
        <is>
          <t>Vendor B</t>
        </is>
      </c>
      <c r="C36" s="6" t="n">
        <v>46078</v>
      </c>
      <c r="D36" s="6" t="n">
        <v>46108</v>
      </c>
      <c r="E36" s="5" t="n">
        <v>172.69</v>
      </c>
      <c r="F36" s="5" t="inlineStr">
        <is>
          <t>EUR</t>
        </is>
      </c>
      <c r="G36" s="5" t="inlineStr">
        <is>
          <t>On Hold</t>
        </is>
      </c>
      <c r="H36" s="5" t="n">
        <v>1</v>
      </c>
      <c r="I36" s="5" t="inlineStr">
        <is>
          <t>Tax Compliance</t>
        </is>
      </c>
      <c r="J36" s="5" t="inlineStr">
        <is>
          <t>Needs follow-up</t>
        </is>
      </c>
    </row>
    <row r="37">
      <c r="A37" s="5" t="inlineStr">
        <is>
          <t>INV-10036</t>
        </is>
      </c>
      <c r="B37" s="5" t="inlineStr">
        <is>
          <t>Vendor D</t>
        </is>
      </c>
      <c r="C37" s="6" t="n">
        <v>46053</v>
      </c>
      <c r="D37" s="6" t="n">
        <v>46083</v>
      </c>
      <c r="E37" s="5" t="n">
        <v>3366.04</v>
      </c>
      <c r="F37" s="5" t="inlineStr">
        <is>
          <t>EUR</t>
        </is>
      </c>
      <c r="G37" s="5" t="inlineStr">
        <is>
          <t>On Hold</t>
        </is>
      </c>
      <c r="H37" s="5" t="n">
        <v>26</v>
      </c>
      <c r="I37" s="5" t="inlineStr">
        <is>
          <t>A2R Team</t>
        </is>
      </c>
      <c r="J37" s="5" t="inlineStr">
        <is>
          <t>Needs follow-up</t>
        </is>
      </c>
    </row>
    <row r="38">
      <c r="A38" s="5" t="inlineStr">
        <is>
          <t>INV-10037</t>
        </is>
      </c>
      <c r="B38" s="5" t="inlineStr">
        <is>
          <t>Vendor C</t>
        </is>
      </c>
      <c r="C38" s="6" t="n">
        <v>46094</v>
      </c>
      <c r="D38" s="6" t="n">
        <v>46124</v>
      </c>
      <c r="E38" s="5" t="n">
        <v>3947.5</v>
      </c>
      <c r="F38" s="5" t="inlineStr">
        <is>
          <t>EUR</t>
        </is>
      </c>
      <c r="G38" s="5" t="inlineStr">
        <is>
          <t>Posted</t>
        </is>
      </c>
      <c r="H38" s="5" t="n">
        <v>-15</v>
      </c>
      <c r="I38" s="5" t="inlineStr">
        <is>
          <t>You</t>
        </is>
      </c>
      <c r="J38" s="5" t="inlineStr"/>
    </row>
    <row r="39">
      <c r="A39" s="5" t="inlineStr">
        <is>
          <t>INV-10038</t>
        </is>
      </c>
      <c r="B39" s="5" t="inlineStr">
        <is>
          <t>Vendor D</t>
        </is>
      </c>
      <c r="C39" s="6" t="n">
        <v>46090</v>
      </c>
      <c r="D39" s="6" t="n">
        <v>46120</v>
      </c>
      <c r="E39" s="5" t="n">
        <v>1037.89</v>
      </c>
      <c r="F39" s="5" t="inlineStr">
        <is>
          <t>EUR</t>
        </is>
      </c>
      <c r="G39" s="5" t="inlineStr">
        <is>
          <t>Paid</t>
        </is>
      </c>
      <c r="H39" s="5" t="n">
        <v>-11</v>
      </c>
      <c r="I39" s="5" t="inlineStr">
        <is>
          <t>Tax Compliance</t>
        </is>
      </c>
      <c r="J39" s="5" t="inlineStr"/>
    </row>
    <row r="40">
      <c r="A40" s="5" t="inlineStr">
        <is>
          <t>INV-10039</t>
        </is>
      </c>
      <c r="B40" s="5" t="inlineStr">
        <is>
          <t>Vendor C</t>
        </is>
      </c>
      <c r="C40" s="6" t="n">
        <v>46052</v>
      </c>
      <c r="D40" s="6" t="n">
        <v>46082</v>
      </c>
      <c r="E40" s="5" t="n">
        <v>3986.96</v>
      </c>
      <c r="F40" s="5" t="inlineStr">
        <is>
          <t>EUR</t>
        </is>
      </c>
      <c r="G40" s="5" t="inlineStr">
        <is>
          <t>Posted</t>
        </is>
      </c>
      <c r="H40" s="5" t="n">
        <v>27</v>
      </c>
      <c r="I40" s="5" t="inlineStr">
        <is>
          <t>You</t>
        </is>
      </c>
      <c r="J40" s="5" t="inlineStr"/>
    </row>
    <row r="41">
      <c r="A41" s="5" t="inlineStr">
        <is>
          <t>INV-10040</t>
        </is>
      </c>
      <c r="B41" s="5" t="inlineStr">
        <is>
          <t>Vendor B</t>
        </is>
      </c>
      <c r="C41" s="6" t="n">
        <v>46079</v>
      </c>
      <c r="D41" s="6" t="n">
        <v>46109</v>
      </c>
      <c r="E41" s="5" t="n">
        <v>1674.9</v>
      </c>
      <c r="F41" s="5" t="inlineStr">
        <is>
          <t>EUR</t>
        </is>
      </c>
      <c r="G41" s="5" t="inlineStr">
        <is>
          <t>Paid</t>
        </is>
      </c>
      <c r="H41" s="5" t="n">
        <v>0</v>
      </c>
      <c r="I41" s="5" t="inlineStr">
        <is>
          <t>Tax Compliance</t>
        </is>
      </c>
      <c r="J41" s="5" t="inlineStr"/>
    </row>
    <row r="42">
      <c r="A42" s="5" t="inlineStr">
        <is>
          <t>INV-10041</t>
        </is>
      </c>
      <c r="B42" s="5" t="inlineStr">
        <is>
          <t>Vendor C</t>
        </is>
      </c>
      <c r="C42" s="6" t="n">
        <v>46063</v>
      </c>
      <c r="D42" s="6" t="n">
        <v>46093</v>
      </c>
      <c r="E42" s="5" t="n">
        <v>2571.56</v>
      </c>
      <c r="F42" s="5" t="inlineStr">
        <is>
          <t>EUR</t>
        </is>
      </c>
      <c r="G42" s="5" t="inlineStr">
        <is>
          <t>On Hold</t>
        </is>
      </c>
      <c r="H42" s="5" t="n">
        <v>16</v>
      </c>
      <c r="I42" s="5" t="inlineStr">
        <is>
          <t>Tax Compliance</t>
        </is>
      </c>
      <c r="J42" s="5" t="inlineStr">
        <is>
          <t>Needs follow-up</t>
        </is>
      </c>
    </row>
    <row r="43">
      <c r="A43" s="5" t="inlineStr">
        <is>
          <t>INV-10042</t>
        </is>
      </c>
      <c r="B43" s="5" t="inlineStr">
        <is>
          <t>Vendor A</t>
        </is>
      </c>
      <c r="C43" s="6" t="n">
        <v>46097</v>
      </c>
      <c r="D43" s="6" t="n">
        <v>46127</v>
      </c>
      <c r="E43" s="5" t="n">
        <v>4391.34</v>
      </c>
      <c r="F43" s="5" t="inlineStr">
        <is>
          <t>EUR</t>
        </is>
      </c>
      <c r="G43" s="5" t="inlineStr">
        <is>
          <t>Posted</t>
        </is>
      </c>
      <c r="H43" s="5" t="n">
        <v>-18</v>
      </c>
      <c r="I43" s="5" t="inlineStr">
        <is>
          <t>Tax Compliance</t>
        </is>
      </c>
      <c r="J43" s="5" t="inlineStr"/>
    </row>
    <row r="44">
      <c r="A44" s="5" t="inlineStr">
        <is>
          <t>INV-10043</t>
        </is>
      </c>
      <c r="B44" s="5" t="inlineStr">
        <is>
          <t>Vendor A</t>
        </is>
      </c>
      <c r="C44" s="6" t="n">
        <v>46098</v>
      </c>
      <c r="D44" s="6" t="n">
        <v>46128</v>
      </c>
      <c r="E44" s="5" t="n">
        <v>3003.03</v>
      </c>
      <c r="F44" s="5" t="inlineStr">
        <is>
          <t>EUR</t>
        </is>
      </c>
      <c r="G44" s="5" t="inlineStr">
        <is>
          <t>Pending Approval</t>
        </is>
      </c>
      <c r="H44" s="5" t="n">
        <v>-19</v>
      </c>
      <c r="I44" s="5" t="inlineStr">
        <is>
          <t>Tax Compliance</t>
        </is>
      </c>
      <c r="J44" s="5" t="inlineStr">
        <is>
          <t>Needs follow-up</t>
        </is>
      </c>
    </row>
    <row r="45">
      <c r="A45" s="5" t="inlineStr">
        <is>
          <t>INV-10044</t>
        </is>
      </c>
      <c r="B45" s="5" t="inlineStr">
        <is>
          <t>Vendor D</t>
        </is>
      </c>
      <c r="C45" s="6" t="n">
        <v>46066</v>
      </c>
      <c r="D45" s="6" t="n">
        <v>46096</v>
      </c>
      <c r="E45" s="5" t="n">
        <v>4921.97</v>
      </c>
      <c r="F45" s="5" t="inlineStr">
        <is>
          <t>EUR</t>
        </is>
      </c>
      <c r="G45" s="5" t="inlineStr">
        <is>
          <t>Posted</t>
        </is>
      </c>
      <c r="H45" s="5" t="n">
        <v>13</v>
      </c>
      <c r="I45" s="5" t="inlineStr">
        <is>
          <t>A2R Team</t>
        </is>
      </c>
      <c r="J45" s="5" t="inlineStr"/>
    </row>
    <row r="46">
      <c r="A46" s="5" t="inlineStr">
        <is>
          <t>INV-10045</t>
        </is>
      </c>
      <c r="B46" s="5" t="inlineStr">
        <is>
          <t>Vendor C</t>
        </is>
      </c>
      <c r="C46" s="6" t="n">
        <v>46102</v>
      </c>
      <c r="D46" s="6" t="n">
        <v>46132</v>
      </c>
      <c r="E46" s="5" t="n">
        <v>3558.49</v>
      </c>
      <c r="F46" s="5" t="inlineStr">
        <is>
          <t>EUR</t>
        </is>
      </c>
      <c r="G46" s="5" t="inlineStr">
        <is>
          <t>Posted</t>
        </is>
      </c>
      <c r="H46" s="5" t="n">
        <v>-23</v>
      </c>
      <c r="I46" s="5" t="inlineStr">
        <is>
          <t>A2R Team</t>
        </is>
      </c>
      <c r="J46" s="5" t="inlineStr"/>
    </row>
    <row r="47">
      <c r="A47" s="5" t="inlineStr">
        <is>
          <t>INV-10046</t>
        </is>
      </c>
      <c r="B47" s="5" t="inlineStr">
        <is>
          <t>Vendor C</t>
        </is>
      </c>
      <c r="C47" s="6" t="n">
        <v>46077</v>
      </c>
      <c r="D47" s="6" t="n">
        <v>46107</v>
      </c>
      <c r="E47" s="5" t="n">
        <v>396.37</v>
      </c>
      <c r="F47" s="5" t="inlineStr">
        <is>
          <t>EUR</t>
        </is>
      </c>
      <c r="G47" s="5" t="inlineStr">
        <is>
          <t>On Hold</t>
        </is>
      </c>
      <c r="H47" s="5" t="n">
        <v>2</v>
      </c>
      <c r="I47" s="5" t="inlineStr">
        <is>
          <t>Tax Compliance</t>
        </is>
      </c>
      <c r="J47" s="5" t="inlineStr">
        <is>
          <t>Needs follow-up</t>
        </is>
      </c>
    </row>
    <row r="48">
      <c r="A48" s="5" t="inlineStr">
        <is>
          <t>INV-10047</t>
        </is>
      </c>
      <c r="B48" s="5" t="inlineStr">
        <is>
          <t>Vendor E</t>
        </is>
      </c>
      <c r="C48" s="6" t="n">
        <v>46084</v>
      </c>
      <c r="D48" s="6" t="n">
        <v>46114</v>
      </c>
      <c r="E48" s="5" t="n">
        <v>3333.77</v>
      </c>
      <c r="F48" s="5" t="inlineStr">
        <is>
          <t>EUR</t>
        </is>
      </c>
      <c r="G48" s="5" t="inlineStr">
        <is>
          <t>Posted</t>
        </is>
      </c>
      <c r="H48" s="5" t="n">
        <v>-5</v>
      </c>
      <c r="I48" s="5" t="inlineStr">
        <is>
          <t>Tax Compliance</t>
        </is>
      </c>
      <c r="J48" s="5" t="inlineStr"/>
    </row>
    <row r="49">
      <c r="A49" s="5" t="inlineStr">
        <is>
          <t>INV-10048</t>
        </is>
      </c>
      <c r="B49" s="5" t="inlineStr">
        <is>
          <t>Vendor E</t>
        </is>
      </c>
      <c r="C49" s="6" t="n">
        <v>46085</v>
      </c>
      <c r="D49" s="6" t="n">
        <v>46115</v>
      </c>
      <c r="E49" s="5" t="n">
        <v>3351.12</v>
      </c>
      <c r="F49" s="5" t="inlineStr">
        <is>
          <t>EUR</t>
        </is>
      </c>
      <c r="G49" s="5" t="inlineStr">
        <is>
          <t>Pending Approval</t>
        </is>
      </c>
      <c r="H49" s="5" t="n">
        <v>-6</v>
      </c>
      <c r="I49" s="5" t="inlineStr">
        <is>
          <t>Tax Compliance</t>
        </is>
      </c>
      <c r="J49" s="5" t="inlineStr">
        <is>
          <t>Needs follow-up</t>
        </is>
      </c>
    </row>
    <row r="50">
      <c r="A50" s="5" t="inlineStr">
        <is>
          <t>INV-10049</t>
        </is>
      </c>
      <c r="B50" s="5" t="inlineStr">
        <is>
          <t>Vendor E</t>
        </is>
      </c>
      <c r="C50" s="6" t="n">
        <v>46096</v>
      </c>
      <c r="D50" s="6" t="n">
        <v>46126</v>
      </c>
      <c r="E50" s="5" t="n">
        <v>999.61</v>
      </c>
      <c r="F50" s="5" t="inlineStr">
        <is>
          <t>EUR</t>
        </is>
      </c>
      <c r="G50" s="5" t="inlineStr">
        <is>
          <t>On Hold</t>
        </is>
      </c>
      <c r="H50" s="5" t="n">
        <v>-17</v>
      </c>
      <c r="I50" s="5" t="inlineStr">
        <is>
          <t>Closing &amp; Reporting</t>
        </is>
      </c>
      <c r="J50" s="5" t="inlineStr">
        <is>
          <t>Needs follow-up</t>
        </is>
      </c>
    </row>
    <row r="51">
      <c r="A51" s="5" t="inlineStr">
        <is>
          <t>INV-10050</t>
        </is>
      </c>
      <c r="B51" s="5" t="inlineStr">
        <is>
          <t>Vendor B</t>
        </is>
      </c>
      <c r="C51" s="6" t="n">
        <v>46065</v>
      </c>
      <c r="D51" s="6" t="n">
        <v>46095</v>
      </c>
      <c r="E51" s="5" t="n">
        <v>2867.07</v>
      </c>
      <c r="F51" s="5" t="inlineStr">
        <is>
          <t>EUR</t>
        </is>
      </c>
      <c r="G51" s="5" t="inlineStr">
        <is>
          <t>Pending Approval</t>
        </is>
      </c>
      <c r="H51" s="5" t="n">
        <v>14</v>
      </c>
      <c r="I51" s="5" t="inlineStr">
        <is>
          <t>You</t>
        </is>
      </c>
      <c r="J51" s="5" t="inlineStr">
        <is>
          <t>Needs follow-up</t>
        </is>
      </c>
    </row>
    <row r="52">
      <c r="A52" s="5" t="inlineStr">
        <is>
          <t>INV-10051</t>
        </is>
      </c>
      <c r="B52" s="5" t="inlineStr">
        <is>
          <t>Vendor C</t>
        </is>
      </c>
      <c r="C52" s="6" t="n">
        <v>46086</v>
      </c>
      <c r="D52" s="6" t="n">
        <v>46116</v>
      </c>
      <c r="E52" s="5" t="n">
        <v>1090.4</v>
      </c>
      <c r="F52" s="5" t="inlineStr">
        <is>
          <t>EUR</t>
        </is>
      </c>
      <c r="G52" s="5" t="inlineStr">
        <is>
          <t>Paid</t>
        </is>
      </c>
      <c r="H52" s="5" t="n">
        <v>-7</v>
      </c>
      <c r="I52" s="5" t="inlineStr">
        <is>
          <t>Tax Compliance</t>
        </is>
      </c>
      <c r="J52" s="5" t="inlineStr"/>
    </row>
    <row r="53">
      <c r="A53" s="5" t="inlineStr">
        <is>
          <t>INV-10052</t>
        </is>
      </c>
      <c r="B53" s="5" t="inlineStr">
        <is>
          <t>Vendor D</t>
        </is>
      </c>
      <c r="C53" s="6" t="n">
        <v>46076</v>
      </c>
      <c r="D53" s="6" t="n">
        <v>46106</v>
      </c>
      <c r="E53" s="5" t="n">
        <v>2238.69</v>
      </c>
      <c r="F53" s="5" t="inlineStr">
        <is>
          <t>EUR</t>
        </is>
      </c>
      <c r="G53" s="5" t="inlineStr">
        <is>
          <t>Posted</t>
        </is>
      </c>
      <c r="H53" s="5" t="n">
        <v>3</v>
      </c>
      <c r="I53" s="5" t="inlineStr">
        <is>
          <t>Closing &amp; Reporting</t>
        </is>
      </c>
      <c r="J53" s="5" t="inlineStr"/>
    </row>
    <row r="54">
      <c r="A54" s="5" t="inlineStr">
        <is>
          <t>INV-10053</t>
        </is>
      </c>
      <c r="B54" s="5" t="inlineStr">
        <is>
          <t>Vendor B</t>
        </is>
      </c>
      <c r="C54" s="6" t="n">
        <v>46062</v>
      </c>
      <c r="D54" s="6" t="n">
        <v>46092</v>
      </c>
      <c r="E54" s="5" t="n">
        <v>469.74</v>
      </c>
      <c r="F54" s="5" t="inlineStr">
        <is>
          <t>EUR</t>
        </is>
      </c>
      <c r="G54" s="5" t="inlineStr">
        <is>
          <t>Blocked</t>
        </is>
      </c>
      <c r="H54" s="5" t="n">
        <v>17</v>
      </c>
      <c r="I54" s="5" t="inlineStr">
        <is>
          <t>Tax Compliance</t>
        </is>
      </c>
      <c r="J54" s="5" t="inlineStr">
        <is>
          <t>Needs follow-up</t>
        </is>
      </c>
    </row>
    <row r="55">
      <c r="A55" s="5" t="inlineStr">
        <is>
          <t>INV-10054</t>
        </is>
      </c>
      <c r="B55" s="5" t="inlineStr">
        <is>
          <t>Vendor A</t>
        </is>
      </c>
      <c r="C55" s="6" t="n">
        <v>46052</v>
      </c>
      <c r="D55" s="6" t="n">
        <v>46082</v>
      </c>
      <c r="E55" s="5" t="n">
        <v>4762.4</v>
      </c>
      <c r="F55" s="5" t="inlineStr">
        <is>
          <t>EUR</t>
        </is>
      </c>
      <c r="G55" s="5" t="inlineStr">
        <is>
          <t>Posted</t>
        </is>
      </c>
      <c r="H55" s="5" t="n">
        <v>27</v>
      </c>
      <c r="I55" s="5" t="inlineStr">
        <is>
          <t>Tax Compliance</t>
        </is>
      </c>
      <c r="J55" s="5" t="inlineStr"/>
    </row>
    <row r="56">
      <c r="A56" s="5" t="inlineStr">
        <is>
          <t>INV-10055</t>
        </is>
      </c>
      <c r="B56" s="5" t="inlineStr">
        <is>
          <t>Vendor B</t>
        </is>
      </c>
      <c r="C56" s="6" t="n">
        <v>46053</v>
      </c>
      <c r="D56" s="6" t="n">
        <v>46083</v>
      </c>
      <c r="E56" s="5" t="n">
        <v>1035.69</v>
      </c>
      <c r="F56" s="5" t="inlineStr">
        <is>
          <t>EUR</t>
        </is>
      </c>
      <c r="G56" s="5" t="inlineStr">
        <is>
          <t>Posted</t>
        </is>
      </c>
      <c r="H56" s="5" t="n">
        <v>26</v>
      </c>
      <c r="I56" s="5" t="inlineStr">
        <is>
          <t>A2R Team</t>
        </is>
      </c>
      <c r="J56" s="5" t="inlineStr"/>
    </row>
    <row r="57">
      <c r="A57" s="5" t="inlineStr">
        <is>
          <t>INV-10056</t>
        </is>
      </c>
      <c r="B57" s="5" t="inlineStr">
        <is>
          <t>Vendor D</t>
        </is>
      </c>
      <c r="C57" s="6" t="n">
        <v>46065</v>
      </c>
      <c r="D57" s="6" t="n">
        <v>46095</v>
      </c>
      <c r="E57" s="5" t="n">
        <v>4256.2</v>
      </c>
      <c r="F57" s="5" t="inlineStr">
        <is>
          <t>EUR</t>
        </is>
      </c>
      <c r="G57" s="5" t="inlineStr">
        <is>
          <t>Posted</t>
        </is>
      </c>
      <c r="H57" s="5" t="n">
        <v>14</v>
      </c>
      <c r="I57" s="5" t="inlineStr">
        <is>
          <t>Closing &amp; Reporting</t>
        </is>
      </c>
      <c r="J57" s="5" t="inlineStr"/>
    </row>
    <row r="58">
      <c r="A58" s="5" t="inlineStr">
        <is>
          <t>INV-10057</t>
        </is>
      </c>
      <c r="B58" s="5" t="inlineStr">
        <is>
          <t>Vendor E</t>
        </is>
      </c>
      <c r="C58" s="6" t="n">
        <v>46092</v>
      </c>
      <c r="D58" s="6" t="n">
        <v>46122</v>
      </c>
      <c r="E58" s="5" t="n">
        <v>3605.81</v>
      </c>
      <c r="F58" s="5" t="inlineStr">
        <is>
          <t>EUR</t>
        </is>
      </c>
      <c r="G58" s="5" t="inlineStr">
        <is>
          <t>Pending Approval</t>
        </is>
      </c>
      <c r="H58" s="5" t="n">
        <v>-13</v>
      </c>
      <c r="I58" s="5" t="inlineStr">
        <is>
          <t>Closing &amp; Reporting</t>
        </is>
      </c>
      <c r="J58" s="5" t="inlineStr">
        <is>
          <t>Needs follow-up</t>
        </is>
      </c>
    </row>
    <row r="59">
      <c r="A59" s="5" t="inlineStr">
        <is>
          <t>INV-10058</t>
        </is>
      </c>
      <c r="B59" s="5" t="inlineStr">
        <is>
          <t>Vendor B</t>
        </is>
      </c>
      <c r="C59" s="6" t="n">
        <v>46095</v>
      </c>
      <c r="D59" s="6" t="n">
        <v>46125</v>
      </c>
      <c r="E59" s="5" t="n">
        <v>3297.49</v>
      </c>
      <c r="F59" s="5" t="inlineStr">
        <is>
          <t>EUR</t>
        </is>
      </c>
      <c r="G59" s="5" t="inlineStr">
        <is>
          <t>Posted</t>
        </is>
      </c>
      <c r="H59" s="5" t="n">
        <v>-16</v>
      </c>
      <c r="I59" s="5" t="inlineStr">
        <is>
          <t>You</t>
        </is>
      </c>
      <c r="J59" s="5" t="inlineStr"/>
    </row>
    <row r="60">
      <c r="A60" s="5" t="inlineStr">
        <is>
          <t>INV-10059</t>
        </is>
      </c>
      <c r="B60" s="5" t="inlineStr">
        <is>
          <t>Vendor D</t>
        </is>
      </c>
      <c r="C60" s="6" t="n">
        <v>46090</v>
      </c>
      <c r="D60" s="6" t="n">
        <v>46120</v>
      </c>
      <c r="E60" s="5" t="n">
        <v>920.64</v>
      </c>
      <c r="F60" s="5" t="inlineStr">
        <is>
          <t>EUR</t>
        </is>
      </c>
      <c r="G60" s="5" t="inlineStr">
        <is>
          <t>Paid</t>
        </is>
      </c>
      <c r="H60" s="5" t="n">
        <v>-11</v>
      </c>
      <c r="I60" s="5" t="inlineStr">
        <is>
          <t>Closing &amp; Reporting</t>
        </is>
      </c>
      <c r="J60" s="5" t="inlineStr"/>
    </row>
    <row r="61">
      <c r="A61" s="5" t="inlineStr">
        <is>
          <t>INV-10060</t>
        </is>
      </c>
      <c r="B61" s="5" t="inlineStr">
        <is>
          <t>Vendor A</t>
        </is>
      </c>
      <c r="C61" s="6" t="n">
        <v>46069</v>
      </c>
      <c r="D61" s="6" t="n">
        <v>46099</v>
      </c>
      <c r="E61" s="5" t="n">
        <v>1283.53</v>
      </c>
      <c r="F61" s="5" t="inlineStr">
        <is>
          <t>EUR</t>
        </is>
      </c>
      <c r="G61" s="5" t="inlineStr">
        <is>
          <t>Paid</t>
        </is>
      </c>
      <c r="H61" s="5" t="n">
        <v>10</v>
      </c>
      <c r="I61" s="5" t="inlineStr">
        <is>
          <t>Closing &amp; Reporting</t>
        </is>
      </c>
      <c r="J61"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0" customWidth="1" min="1" max="1"/>
    <col width="18" customWidth="1" min="2" max="2"/>
  </cols>
  <sheetData>
    <row r="1">
      <c r="A1" s="7" t="inlineStr">
        <is>
          <t>Month-End Closing &amp; Reporting Dashboard</t>
        </is>
      </c>
    </row>
    <row r="3">
      <c r="A3" t="inlineStr">
        <is>
          <t>Period</t>
        </is>
      </c>
      <c r="B3">
        <f>Config!B1</f>
        <v/>
      </c>
    </row>
    <row r="5">
      <c r="A5" t="inlineStr">
        <is>
          <t>On-time completion rate</t>
        </is>
      </c>
      <c r="B5">
        <f>ROUND(COUNTIFS(Tasks!G:G,"Done",Tasks!F:F,"&lt;= "&amp;Tasks!E:E)/COUNTIF(Tasks!G:G,"Done"),4)</f>
        <v/>
      </c>
    </row>
    <row r="6">
      <c r="A6" t="inlineStr">
        <is>
          <t>Open items reduction (vs baseline)</t>
        </is>
      </c>
      <c r="B6">
        <f>ROUND((Config!B2-Config!B3)/Config!B2,4)</f>
        <v/>
      </c>
    </row>
    <row r="7">
      <c r="A7" t="inlineStr">
        <is>
          <t>Follow-up reduction (vs baseline)</t>
        </is>
      </c>
      <c r="B7">
        <f>ROUND((Config!B4-Config!B5)/Config!B4,4)</f>
        <v/>
      </c>
    </row>
    <row r="9">
      <c r="A9" t="inlineStr">
        <is>
          <t>Invoices needing follow-up (SAP export)</t>
        </is>
      </c>
      <c r="B9">
        <f>COUNTIF(SAP_Invoice_Export!G:G,"Pending Approval")+COUNTIF(SAP_Invoice_Export!G:G,"Blocked")+COUNTIF(SAP_Invoice_Export!G:G,"On Hold")</f>
        <v/>
      </c>
    </row>
    <row r="10">
      <c r="A10" t="inlineStr">
        <is>
          <t>Invoices pending approval</t>
        </is>
      </c>
      <c r="B10">
        <f>COUNTIF(SAP_Invoice_Export!G:G,"Pending Approval")</f>
        <v/>
      </c>
    </row>
    <row r="11">
      <c r="A11" t="inlineStr">
        <is>
          <t>Invoices blocked/on hold</t>
        </is>
      </c>
      <c r="B11">
        <f>COUNTIF(SAP_Invoice_Export!G:G,"Blocked")+COUNTIF(SAP_Invoice_Export!G:G,"On Hold")</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7" t="inlineStr">
        <is>
          <t>How to use (GitHub-ready demo)</t>
        </is>
      </c>
    </row>
    <row r="3">
      <c r="A3" s="8" t="inlineStr">
        <is>
          <t>1) Update Config with the period and baseline figures (optional).</t>
        </is>
      </c>
    </row>
    <row r="4">
      <c r="A4" s="8" t="inlineStr">
        <is>
          <t>2) Maintain Tasks during month-end: due date, completed date, status, dependencies, notes.</t>
        </is>
      </c>
    </row>
    <row r="5">
      <c r="A5" s="8" t="inlineStr">
        <is>
          <t>3) Paste/replace SAP invoice export into SAP_Invoice_Export (keep headers).</t>
        </is>
      </c>
    </row>
    <row r="6">
      <c r="A6" s="8" t="inlineStr">
        <is>
          <t>4) Dashboard calculates KPIs automatically.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2" customWidth="1" min="1" max="1"/>
    <col width="14" customWidth="1" min="2" max="2"/>
  </cols>
  <sheetData>
    <row r="1">
      <c r="A1" s="9" t="inlineStr">
        <is>
          <t>Month-end period</t>
        </is>
      </c>
      <c r="B1" t="inlineStr">
        <is>
          <t>2026-03</t>
        </is>
      </c>
    </row>
    <row r="2">
      <c r="A2" s="9" t="inlineStr">
        <is>
          <t>Baseline open items (previous period)</t>
        </is>
      </c>
      <c r="B2" t="n">
        <v>30</v>
      </c>
    </row>
    <row r="3">
      <c r="A3" s="9" t="inlineStr">
        <is>
          <t>Current open items (this period)</t>
        </is>
      </c>
      <c r="B3" t="n">
        <v>23</v>
      </c>
    </row>
    <row r="4">
      <c r="A4" s="9" t="inlineStr">
        <is>
          <t>Baseline follow-ups (previous period)</t>
        </is>
      </c>
      <c r="B4" t="n">
        <v>100</v>
      </c>
    </row>
    <row r="5">
      <c r="A5" s="9" t="inlineStr">
        <is>
          <t>Current follow-ups (this period)</t>
        </is>
      </c>
      <c r="B5"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2026-01-14T17:11:14Z</dcterms:created>
  <dcterms:modified xmlns:dcterms="http://purl.org/dc/terms/" xmlns:xsi="http://www.w3.org/2001/XMLSchema-instance" xsi:type="dcterms:W3CDTF">2026-01-14T17:11:14Z</dcterms:modified>
</cp:coreProperties>
</file>